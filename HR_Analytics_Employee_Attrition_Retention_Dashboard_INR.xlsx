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HR Dashboard" sheetId="2" state="visible" r:id="rId2"/>
    <sheet xmlns:r="http://schemas.openxmlformats.org/officeDocument/2006/relationships" name="High Risk Top 10" sheetId="3" state="visible" r:id="rId3"/>
    <sheet xmlns:r="http://schemas.openxmlformats.org/officeDocument/2006/relationships" name="What-If Scenarios" sheetId="4" state="visible" r:id="rId4"/>
    <sheet xmlns:r="http://schemas.openxmlformats.org/officeDocument/2006/relationships" name="Instructions" sheetId="5" state="visible" r:id="rId5"/>
  </sheets>
  <definedNames>
    <definedName name="_xlnm._FilterDatabase" localSheetId="0" hidden="1">'Employee Data'!$A$1:$P$201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666666"/>
    </font>
    <font>
      <b val="1"/>
      <sz val="14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'HR Dashboard'!C11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'HR Dashboard'!$A$12:$A$18</f>
            </numRef>
          </cat>
          <val>
            <numRef>
              <f>'HR Dashboard'!$C$12:$C$18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 Left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by Gender</a:t>
            </a:r>
          </a:p>
        </rich>
      </tx>
    </title>
    <plotArea>
      <pieChart>
        <varyColors val="1"/>
        <ser>
          <idx val="0"/>
          <order val="0"/>
          <tx>
            <strRef>
              <f>'HR Dashboard'!G11</f>
            </strRef>
          </tx>
          <spPr>
            <a:ln xmlns:a="http://schemas.openxmlformats.org/drawingml/2006/main">
              <a:prstDash val="solid"/>
            </a:ln>
          </spPr>
          <cat>
            <numRef>
              <f>'HR Dashboard'!$F$12:$F$13</f>
            </numRef>
          </cat>
          <val>
            <numRef>
              <f>'HR Dashboard'!$G$12:$G$13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mployeeDataTable" displayName="EmployeeDataTable" ref="A1:P201" headerRowCount="1">
  <autoFilter ref="A1:P201"/>
  <tableColumns count="16">
    <tableColumn id="1" name="Employee_ID"/>
    <tableColumn id="2" name="Age"/>
    <tableColumn id="3" name="Gender"/>
    <tableColumn id="4" name="Department"/>
    <tableColumn id="5" name="Job_Role"/>
    <tableColumn id="6" name="Tenure (Years)"/>
    <tableColumn id="7" name="Annual Salary (INR)"/>
    <tableColumn id="8" name="Training_Hours"/>
    <tableColumn id="9" name="Performance_Rating"/>
    <tableColumn id="10" name="Overtime (Yes/No)"/>
    <tableColumn id="11" name="Attrition (Yes/No)"/>
    <tableColumn id="12" name="Monthly Salary (INR)"/>
    <tableColumn id="13" name="Tenure Group"/>
    <tableColumn id="14" name="Department Median Salary (INR)"/>
    <tableColumn id="15" name="Attrition Risk Score"/>
    <tableColumn id="16" name="Risk Leve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7" customWidth="1" min="4" max="4"/>
    <col width="30" customWidth="1" min="5" max="5"/>
    <col width="15" customWidth="1" min="6" max="6"/>
    <col width="20" customWidth="1" min="7" max="7"/>
    <col width="16" customWidth="1" min="8" max="8"/>
    <col width="19" customWidth="1" min="9" max="9"/>
    <col width="18" customWidth="1" min="10" max="10"/>
    <col width="18" customWidth="1" min="11" max="11"/>
    <col width="20" customWidth="1" min="12" max="12"/>
    <col width="16" customWidth="1" min="13" max="13"/>
    <col width="25" customWidth="1" min="14" max="14"/>
    <col width="19" customWidth="1" min="15" max="15"/>
    <col width="12" customWidth="1" min="16" max="16"/>
  </cols>
  <sheetData>
    <row r="1">
      <c r="A1" s="1" t="inlineStr">
        <is>
          <t>Employee_ID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Job_Role</t>
        </is>
      </c>
      <c r="F1" s="1" t="inlineStr">
        <is>
          <t>Tenure (Years)</t>
        </is>
      </c>
      <c r="G1" s="1" t="inlineStr">
        <is>
          <t>Annual Salary (INR)</t>
        </is>
      </c>
      <c r="H1" s="1" t="inlineStr">
        <is>
          <t>Training_Hours</t>
        </is>
      </c>
      <c r="I1" s="1" t="inlineStr">
        <is>
          <t>Performance_Rating</t>
        </is>
      </c>
      <c r="J1" s="1" t="inlineStr">
        <is>
          <t>Overtime (Yes/No)</t>
        </is>
      </c>
      <c r="K1" s="1" t="inlineStr">
        <is>
          <t>Attrition (Yes/No)</t>
        </is>
      </c>
      <c r="L1" s="1" t="inlineStr">
        <is>
          <t>Monthly Salary (INR)</t>
        </is>
      </c>
      <c r="M1" s="1" t="inlineStr">
        <is>
          <t>Tenure Group</t>
        </is>
      </c>
      <c r="N1" s="1" t="inlineStr">
        <is>
          <t>Department Median Salary (INR)</t>
        </is>
      </c>
      <c r="O1" s="1" t="inlineStr">
        <is>
          <t>Attrition Risk Score</t>
        </is>
      </c>
      <c r="P1" s="1" t="inlineStr">
        <is>
          <t>Risk Level</t>
        </is>
      </c>
    </row>
    <row r="2">
      <c r="A2" s="2" t="inlineStr">
        <is>
          <t>EMP1002</t>
        </is>
      </c>
      <c r="B2" s="2" t="n">
        <v>34</v>
      </c>
      <c r="C2" s="2" t="inlineStr">
        <is>
          <t>M</t>
        </is>
      </c>
      <c r="D2" s="2" t="inlineStr">
        <is>
          <t>IT</t>
        </is>
      </c>
      <c r="E2" s="2" t="inlineStr">
        <is>
          <t>IT Support</t>
        </is>
      </c>
      <c r="F2" s="2" t="n">
        <v>14.3</v>
      </c>
      <c r="G2" s="3" t="n">
        <v>985000</v>
      </c>
      <c r="H2" s="2" t="n">
        <v>17</v>
      </c>
      <c r="I2" s="2" t="n">
        <v>3</v>
      </c>
      <c r="J2" s="2" t="inlineStr">
        <is>
          <t>Yes</t>
        </is>
      </c>
      <c r="K2" s="2" t="inlineStr">
        <is>
          <t>No</t>
        </is>
      </c>
      <c r="L2" s="3">
        <f>G2/12</f>
        <v/>
      </c>
      <c r="M2" s="2">
        <f>IF(F2&lt;=2,"0-2 yrs",IF(F2&lt;=5,"3-5 yrs",IF(F2&lt;=10,"6-10 yrs","10+ yrs")))</f>
        <v/>
      </c>
      <c r="N2" s="3">
        <f>MEDIANIFS($G$2:$G$201,$D$2:$D$201,D2)</f>
        <v/>
      </c>
      <c r="O2" s="2">
        <f>MIN(100,IF(F2&lt;=2,20,0)+IF(I2&lt;=2,25,0)+IF(G2&lt;N2,15,0)+IF(J2="Yes",20,0)+IF(H2&lt;5,10,0))</f>
        <v/>
      </c>
      <c r="P2" s="2">
        <f>IF(O2&gt;=70,"High",IF(O2&gt;=40,"Medium","Low"))</f>
        <v/>
      </c>
    </row>
    <row r="3">
      <c r="A3" s="2" t="inlineStr">
        <is>
          <t>EMP1003</t>
        </is>
      </c>
      <c r="B3" s="2" t="n">
        <v>25</v>
      </c>
      <c r="C3" s="2" t="inlineStr">
        <is>
          <t>F</t>
        </is>
      </c>
      <c r="D3" s="2" t="inlineStr">
        <is>
          <t>HR</t>
        </is>
      </c>
      <c r="E3" s="2" t="inlineStr">
        <is>
          <t>HR Analyst</t>
        </is>
      </c>
      <c r="F3" s="2" t="n">
        <v>10.9</v>
      </c>
      <c r="G3" s="3" t="n">
        <v>545000</v>
      </c>
      <c r="H3" s="2" t="n">
        <v>13</v>
      </c>
      <c r="I3" s="2" t="n">
        <v>3</v>
      </c>
      <c r="J3" s="2" t="inlineStr">
        <is>
          <t>No</t>
        </is>
      </c>
      <c r="K3" s="2" t="inlineStr">
        <is>
          <t>No</t>
        </is>
      </c>
      <c r="L3" s="3">
        <f>G3/12</f>
        <v/>
      </c>
      <c r="M3" s="2">
        <f>IF(F3&lt;=2,"0-2 yrs",IF(F3&lt;=5,"3-5 yrs",IF(F3&lt;=10,"6-10 yrs","10+ yrs")))</f>
        <v/>
      </c>
      <c r="N3" s="3">
        <f>MEDIANIFS($G$2:$G$201,$D$2:$D$201,D3)</f>
        <v/>
      </c>
      <c r="O3" s="2">
        <f>MIN(100,IF(F3&lt;=2,20,0)+IF(I3&lt;=2,25,0)+IF(G3&lt;N3,15,0)+IF(J3="Yes",20,0)+IF(H3&lt;5,10,0))</f>
        <v/>
      </c>
      <c r="P3" s="2">
        <f>IF(O3&gt;=70,"High",IF(O3&gt;=40,"Medium","Low"))</f>
        <v/>
      </c>
    </row>
    <row r="4">
      <c r="A4" s="2" t="inlineStr">
        <is>
          <t>EMP1004</t>
        </is>
      </c>
      <c r="B4" s="2" t="n">
        <v>28</v>
      </c>
      <c r="C4" s="2" t="inlineStr">
        <is>
          <t>M</t>
        </is>
      </c>
      <c r="D4" s="2" t="inlineStr">
        <is>
          <t>IT</t>
        </is>
      </c>
      <c r="E4" s="2" t="inlineStr">
        <is>
          <t>Data Analyst</t>
        </is>
      </c>
      <c r="F4" s="2" t="n">
        <v>9.300000000000001</v>
      </c>
      <c r="G4" s="3" t="n">
        <v>485000</v>
      </c>
      <c r="H4" s="2" t="n">
        <v>20</v>
      </c>
      <c r="I4" s="2" t="n">
        <v>3</v>
      </c>
      <c r="J4" s="2" t="inlineStr">
        <is>
          <t>No</t>
        </is>
      </c>
      <c r="K4" s="2" t="inlineStr">
        <is>
          <t>No</t>
        </is>
      </c>
      <c r="L4" s="3">
        <f>G4/12</f>
        <v/>
      </c>
      <c r="M4" s="2">
        <f>IF(F4&lt;=2,"0-2 yrs",IF(F4&lt;=5,"3-5 yrs",IF(F4&lt;=10,"6-10 yrs","10+ yrs")))</f>
        <v/>
      </c>
      <c r="N4" s="3">
        <f>MEDIANIFS($G$2:$G$201,$D$2:$D$201,D4)</f>
        <v/>
      </c>
      <c r="O4" s="2">
        <f>MIN(100,IF(F4&lt;=2,20,0)+IF(I4&lt;=2,25,0)+IF(G4&lt;N4,15,0)+IF(J4="Yes",20,0)+IF(H4&lt;5,10,0))</f>
        <v/>
      </c>
      <c r="P4" s="2">
        <f>IF(O4&gt;=70,"High",IF(O4&gt;=40,"Medium","Low"))</f>
        <v/>
      </c>
    </row>
    <row r="5">
      <c r="A5" s="2" t="inlineStr">
        <is>
          <t>EMP1005</t>
        </is>
      </c>
      <c r="B5" s="2" t="n">
        <v>26</v>
      </c>
      <c r="C5" s="2" t="inlineStr">
        <is>
          <t>M</t>
        </is>
      </c>
      <c r="D5" s="2" t="inlineStr">
        <is>
          <t>Operations</t>
        </is>
      </c>
      <c r="E5" s="2" t="inlineStr">
        <is>
          <t>Process Analyst</t>
        </is>
      </c>
      <c r="F5" s="2" t="n">
        <v>10.3</v>
      </c>
      <c r="G5" s="3" t="n">
        <v>515000</v>
      </c>
      <c r="H5" s="2" t="n">
        <v>27</v>
      </c>
      <c r="I5" s="2" t="n">
        <v>2</v>
      </c>
      <c r="J5" s="2" t="inlineStr">
        <is>
          <t>No</t>
        </is>
      </c>
      <c r="K5" s="2" t="inlineStr">
        <is>
          <t>No</t>
        </is>
      </c>
      <c r="L5" s="3">
        <f>G5/12</f>
        <v/>
      </c>
      <c r="M5" s="2">
        <f>IF(F5&lt;=2,"0-2 yrs",IF(F5&lt;=5,"3-5 yrs",IF(F5&lt;=10,"6-10 yrs","10+ yrs")))</f>
        <v/>
      </c>
      <c r="N5" s="3">
        <f>MEDIANIFS($G$2:$G$201,$D$2:$D$201,D5)</f>
        <v/>
      </c>
      <c r="O5" s="2">
        <f>MIN(100,IF(F5&lt;=2,20,0)+IF(I5&lt;=2,25,0)+IF(G5&lt;N5,15,0)+IF(J5="Yes",20,0)+IF(H5&lt;5,10,0))</f>
        <v/>
      </c>
      <c r="P5" s="2">
        <f>IF(O5&gt;=70,"High",IF(O5&gt;=40,"Medium","Low"))</f>
        <v/>
      </c>
    </row>
    <row r="6">
      <c r="A6" s="2" t="inlineStr">
        <is>
          <t>EMP1006</t>
        </is>
      </c>
      <c r="B6" s="2" t="n">
        <v>35</v>
      </c>
      <c r="C6" s="2" t="inlineStr">
        <is>
          <t>M</t>
        </is>
      </c>
      <c r="D6" s="2" t="inlineStr">
        <is>
          <t>Finance</t>
        </is>
      </c>
      <c r="E6" s="2" t="inlineStr">
        <is>
          <t>Financial Analyst</t>
        </is>
      </c>
      <c r="F6" s="2" t="n">
        <v>7.5</v>
      </c>
      <c r="G6" s="3" t="n">
        <v>380000</v>
      </c>
      <c r="H6" s="2" t="n">
        <v>21</v>
      </c>
      <c r="I6" s="2" t="n">
        <v>1</v>
      </c>
      <c r="J6" s="2" t="inlineStr">
        <is>
          <t>No</t>
        </is>
      </c>
      <c r="K6" s="2" t="inlineStr">
        <is>
          <t>No</t>
        </is>
      </c>
      <c r="L6" s="3">
        <f>G6/12</f>
        <v/>
      </c>
      <c r="M6" s="2">
        <f>IF(F6&lt;=2,"0-2 yrs",IF(F6&lt;=5,"3-5 yrs",IF(F6&lt;=10,"6-10 yrs","10+ yrs")))</f>
        <v/>
      </c>
      <c r="N6" s="3">
        <f>MEDIANIFS($G$2:$G$201,$D$2:$D$201,D6)</f>
        <v/>
      </c>
      <c r="O6" s="2">
        <f>MIN(100,IF(F6&lt;=2,20,0)+IF(I6&lt;=2,25,0)+IF(G6&lt;N6,15,0)+IF(J6="Yes",20,0)+IF(H6&lt;5,10,0))</f>
        <v/>
      </c>
      <c r="P6" s="2">
        <f>IF(O6&gt;=70,"High",IF(O6&gt;=40,"Medium","Low"))</f>
        <v/>
      </c>
    </row>
    <row r="7">
      <c r="A7" s="2" t="inlineStr">
        <is>
          <t>EMP1007</t>
        </is>
      </c>
      <c r="B7" s="2" t="n">
        <v>22</v>
      </c>
      <c r="C7" s="2" t="inlineStr">
        <is>
          <t>F</t>
        </is>
      </c>
      <c r="D7" s="2" t="inlineStr">
        <is>
          <t>IT</t>
        </is>
      </c>
      <c r="E7" s="2" t="inlineStr">
        <is>
          <t>IT Support</t>
        </is>
      </c>
      <c r="F7" s="2" t="n">
        <v>13.9</v>
      </c>
      <c r="G7" s="3" t="n">
        <v>620000</v>
      </c>
      <c r="H7" s="2" t="n">
        <v>14</v>
      </c>
      <c r="I7" s="2" t="n">
        <v>3</v>
      </c>
      <c r="J7" s="2" t="inlineStr">
        <is>
          <t>Yes</t>
        </is>
      </c>
      <c r="K7" s="2" t="inlineStr">
        <is>
          <t>No</t>
        </is>
      </c>
      <c r="L7" s="3">
        <f>G7/12</f>
        <v/>
      </c>
      <c r="M7" s="2">
        <f>IF(F7&lt;=2,"0-2 yrs",IF(F7&lt;=5,"3-5 yrs",IF(F7&lt;=10,"6-10 yrs","10+ yrs")))</f>
        <v/>
      </c>
      <c r="N7" s="3">
        <f>MEDIANIFS($G$2:$G$201,$D$2:$D$201,D7)</f>
        <v/>
      </c>
      <c r="O7" s="2">
        <f>MIN(100,IF(F7&lt;=2,20,0)+IF(I7&lt;=2,25,0)+IF(G7&lt;N7,15,0)+IF(J7="Yes",20,0)+IF(H7&lt;5,10,0))</f>
        <v/>
      </c>
      <c r="P7" s="2">
        <f>IF(O7&gt;=70,"High",IF(O7&gt;=40,"Medium","Low"))</f>
        <v/>
      </c>
    </row>
    <row r="8">
      <c r="A8" s="2" t="inlineStr">
        <is>
          <t>EMP1008</t>
        </is>
      </c>
      <c r="B8" s="2" t="n">
        <v>24</v>
      </c>
      <c r="C8" s="2" t="inlineStr">
        <is>
          <t>F</t>
        </is>
      </c>
      <c r="D8" s="2" t="inlineStr">
        <is>
          <t>IT</t>
        </is>
      </c>
      <c r="E8" s="2" t="inlineStr">
        <is>
          <t>Software Engineer</t>
        </is>
      </c>
      <c r="F8" s="2" t="n">
        <v>4.4</v>
      </c>
      <c r="G8" s="3" t="n">
        <v>675000</v>
      </c>
      <c r="H8" s="2" t="n">
        <v>17</v>
      </c>
      <c r="I8" s="2" t="n">
        <v>3</v>
      </c>
      <c r="J8" s="2" t="inlineStr">
        <is>
          <t>Yes</t>
        </is>
      </c>
      <c r="K8" s="2" t="inlineStr">
        <is>
          <t>Yes</t>
        </is>
      </c>
      <c r="L8" s="3">
        <f>G8/12</f>
        <v/>
      </c>
      <c r="M8" s="2">
        <f>IF(F8&lt;=2,"0-2 yrs",IF(F8&lt;=5,"3-5 yrs",IF(F8&lt;=10,"6-10 yrs","10+ yrs")))</f>
        <v/>
      </c>
      <c r="N8" s="3">
        <f>MEDIANIFS($G$2:$G$201,$D$2:$D$201,D8)</f>
        <v/>
      </c>
      <c r="O8" s="2">
        <f>MIN(100,IF(F8&lt;=2,20,0)+IF(I8&lt;=2,25,0)+IF(G8&lt;N8,15,0)+IF(J8="Yes",20,0)+IF(H8&lt;5,10,0))</f>
        <v/>
      </c>
      <c r="P8" s="2">
        <f>IF(O8&gt;=70,"High",IF(O8&gt;=40,"Medium","Low"))</f>
        <v/>
      </c>
    </row>
    <row r="9">
      <c r="A9" s="2" t="inlineStr">
        <is>
          <t>EMP1009</t>
        </is>
      </c>
      <c r="B9" s="2" t="n">
        <v>29</v>
      </c>
      <c r="C9" s="2" t="inlineStr">
        <is>
          <t>F</t>
        </is>
      </c>
      <c r="D9" s="2" t="inlineStr">
        <is>
          <t>Finance</t>
        </is>
      </c>
      <c r="E9" s="2" t="inlineStr">
        <is>
          <t>Finance Executive</t>
        </is>
      </c>
      <c r="F9" s="2" t="n">
        <v>10.7</v>
      </c>
      <c r="G9" s="3" t="n">
        <v>600000</v>
      </c>
      <c r="H9" s="2" t="n">
        <v>11</v>
      </c>
      <c r="I9" s="2" t="n">
        <v>2</v>
      </c>
      <c r="J9" s="2" t="inlineStr">
        <is>
          <t>No</t>
        </is>
      </c>
      <c r="K9" s="2" t="inlineStr">
        <is>
          <t>No</t>
        </is>
      </c>
      <c r="L9" s="3">
        <f>G9/12</f>
        <v/>
      </c>
      <c r="M9" s="2">
        <f>IF(F9&lt;=2,"0-2 yrs",IF(F9&lt;=5,"3-5 yrs",IF(F9&lt;=10,"6-10 yrs","10+ yrs")))</f>
        <v/>
      </c>
      <c r="N9" s="3">
        <f>MEDIANIFS($G$2:$G$201,$D$2:$D$201,D9)</f>
        <v/>
      </c>
      <c r="O9" s="2">
        <f>MIN(100,IF(F9&lt;=2,20,0)+IF(I9&lt;=2,25,0)+IF(G9&lt;N9,15,0)+IF(J9="Yes",20,0)+IF(H9&lt;5,10,0))</f>
        <v/>
      </c>
      <c r="P9" s="2">
        <f>IF(O9&gt;=70,"High",IF(O9&gt;=40,"Medium","Low"))</f>
        <v/>
      </c>
    </row>
    <row r="10">
      <c r="A10" s="2" t="inlineStr">
        <is>
          <t>EMP1010</t>
        </is>
      </c>
      <c r="B10" s="2" t="n">
        <v>24</v>
      </c>
      <c r="C10" s="2" t="inlineStr">
        <is>
          <t>F</t>
        </is>
      </c>
      <c r="D10" s="2" t="inlineStr">
        <is>
          <t>IT</t>
        </is>
      </c>
      <c r="E10" s="2" t="inlineStr">
        <is>
          <t>Data Analyst</t>
        </is>
      </c>
      <c r="F10" s="2" t="n">
        <v>1.1</v>
      </c>
      <c r="G10" s="3" t="n">
        <v>385000</v>
      </c>
      <c r="H10" s="2" t="n">
        <v>17</v>
      </c>
      <c r="I10" s="2" t="n">
        <v>2</v>
      </c>
      <c r="J10" s="2" t="inlineStr">
        <is>
          <t>No</t>
        </is>
      </c>
      <c r="K10" s="2" t="inlineStr">
        <is>
          <t>No</t>
        </is>
      </c>
      <c r="L10" s="3">
        <f>G10/12</f>
        <v/>
      </c>
      <c r="M10" s="2">
        <f>IF(F10&lt;=2,"0-2 yrs",IF(F10&lt;=5,"3-5 yrs",IF(F10&lt;=10,"6-10 yrs","10+ yrs")))</f>
        <v/>
      </c>
      <c r="N10" s="3">
        <f>MEDIANIFS($G$2:$G$201,$D$2:$D$201,D10)</f>
        <v/>
      </c>
      <c r="O10" s="2">
        <f>MIN(100,IF(F10&lt;=2,20,0)+IF(I10&lt;=2,25,0)+IF(G10&lt;N10,15,0)+IF(J10="Yes",20,0)+IF(H10&lt;5,10,0))</f>
        <v/>
      </c>
      <c r="P10" s="2">
        <f>IF(O10&gt;=70,"High",IF(O10&gt;=40,"Medium","Low"))</f>
        <v/>
      </c>
    </row>
    <row r="11">
      <c r="A11" s="2" t="inlineStr">
        <is>
          <t>EMP1011</t>
        </is>
      </c>
      <c r="B11" s="2" t="n">
        <v>37</v>
      </c>
      <c r="C11" s="2" t="inlineStr">
        <is>
          <t>M</t>
        </is>
      </c>
      <c r="D11" s="2" t="inlineStr">
        <is>
          <t>Sales</t>
        </is>
      </c>
      <c r="E11" s="2" t="inlineStr">
        <is>
          <t>Sales Executive</t>
        </is>
      </c>
      <c r="F11" s="2" t="n">
        <v>11.6</v>
      </c>
      <c r="G11" s="3" t="n">
        <v>510000</v>
      </c>
      <c r="H11" s="2" t="n">
        <v>21</v>
      </c>
      <c r="I11" s="2" t="n">
        <v>3</v>
      </c>
      <c r="J11" s="2" t="inlineStr">
        <is>
          <t>Yes</t>
        </is>
      </c>
      <c r="K11" s="2" t="inlineStr">
        <is>
          <t>No</t>
        </is>
      </c>
      <c r="L11" s="3">
        <f>G11/12</f>
        <v/>
      </c>
      <c r="M11" s="2">
        <f>IF(F11&lt;=2,"0-2 yrs",IF(F11&lt;=5,"3-5 yrs",IF(F11&lt;=10,"6-10 yrs","10+ yrs")))</f>
        <v/>
      </c>
      <c r="N11" s="3">
        <f>MEDIANIFS($G$2:$G$201,$D$2:$D$201,D11)</f>
        <v/>
      </c>
      <c r="O11" s="2">
        <f>MIN(100,IF(F11&lt;=2,20,0)+IF(I11&lt;=2,25,0)+IF(G11&lt;N11,15,0)+IF(J11="Yes",20,0)+IF(H11&lt;5,10,0))</f>
        <v/>
      </c>
      <c r="P11" s="2">
        <f>IF(O11&gt;=70,"High",IF(O11&gt;=40,"Medium","Low"))</f>
        <v/>
      </c>
    </row>
    <row r="12">
      <c r="A12" s="2" t="inlineStr">
        <is>
          <t>EMP1012</t>
        </is>
      </c>
      <c r="B12" s="2" t="n">
        <v>26</v>
      </c>
      <c r="C12" s="2" t="inlineStr">
        <is>
          <t>F</t>
        </is>
      </c>
      <c r="D12" s="2" t="inlineStr">
        <is>
          <t>Sales</t>
        </is>
      </c>
      <c r="E12" s="2" t="inlineStr">
        <is>
          <t>Business Development Executive</t>
        </is>
      </c>
      <c r="F12" s="2" t="n">
        <v>8.5</v>
      </c>
      <c r="G12" s="3" t="n">
        <v>740000</v>
      </c>
      <c r="H12" s="2" t="n">
        <v>10</v>
      </c>
      <c r="I12" s="2" t="n">
        <v>1</v>
      </c>
      <c r="J12" s="2" t="inlineStr">
        <is>
          <t>Yes</t>
        </is>
      </c>
      <c r="K12" s="2" t="inlineStr">
        <is>
          <t>Yes</t>
        </is>
      </c>
      <c r="L12" s="3">
        <f>G12/12</f>
        <v/>
      </c>
      <c r="M12" s="2">
        <f>IF(F12&lt;=2,"0-2 yrs",IF(F12&lt;=5,"3-5 yrs",IF(F12&lt;=10,"6-10 yrs","10+ yrs")))</f>
        <v/>
      </c>
      <c r="N12" s="3">
        <f>MEDIANIFS($G$2:$G$201,$D$2:$D$201,D12)</f>
        <v/>
      </c>
      <c r="O12" s="2">
        <f>MIN(100,IF(F12&lt;=2,20,0)+IF(I12&lt;=2,25,0)+IF(G12&lt;N12,15,0)+IF(J12="Yes",20,0)+IF(H12&lt;5,10,0))</f>
        <v/>
      </c>
      <c r="P12" s="2">
        <f>IF(O12&gt;=70,"High",IF(O12&gt;=40,"Medium","Low"))</f>
        <v/>
      </c>
    </row>
    <row r="13">
      <c r="A13" s="2" t="inlineStr">
        <is>
          <t>EMP1013</t>
        </is>
      </c>
      <c r="B13" s="2" t="n">
        <v>35</v>
      </c>
      <c r="C13" s="2" t="inlineStr">
        <is>
          <t>F</t>
        </is>
      </c>
      <c r="D13" s="2" t="inlineStr">
        <is>
          <t>Customer Support</t>
        </is>
      </c>
      <c r="E13" s="2" t="inlineStr">
        <is>
          <t>Customer Success Associate</t>
        </is>
      </c>
      <c r="F13" s="2" t="n">
        <v>12.2</v>
      </c>
      <c r="G13" s="3" t="n">
        <v>320000</v>
      </c>
      <c r="H13" s="2" t="n">
        <v>15</v>
      </c>
      <c r="I13" s="2" t="n">
        <v>3</v>
      </c>
      <c r="J13" s="2" t="inlineStr">
        <is>
          <t>No</t>
        </is>
      </c>
      <c r="K13" s="2" t="inlineStr">
        <is>
          <t>No</t>
        </is>
      </c>
      <c r="L13" s="3">
        <f>G13/12</f>
        <v/>
      </c>
      <c r="M13" s="2">
        <f>IF(F13&lt;=2,"0-2 yrs",IF(F13&lt;=5,"3-5 yrs",IF(F13&lt;=10,"6-10 yrs","10+ yrs")))</f>
        <v/>
      </c>
      <c r="N13" s="3">
        <f>MEDIANIFS($G$2:$G$201,$D$2:$D$201,D13)</f>
        <v/>
      </c>
      <c r="O13" s="2">
        <f>MIN(100,IF(F13&lt;=2,20,0)+IF(I13&lt;=2,25,0)+IF(G13&lt;N13,15,0)+IF(J13="Yes",20,0)+IF(H13&lt;5,10,0))</f>
        <v/>
      </c>
      <c r="P13" s="2">
        <f>IF(O13&gt;=70,"High",IF(O13&gt;=40,"Medium","Low"))</f>
        <v/>
      </c>
    </row>
    <row r="14">
      <c r="A14" s="2" t="inlineStr">
        <is>
          <t>EMP1014</t>
        </is>
      </c>
      <c r="B14" s="2" t="n">
        <v>29</v>
      </c>
      <c r="C14" s="2" t="inlineStr">
        <is>
          <t>F</t>
        </is>
      </c>
      <c r="D14" s="2" t="inlineStr">
        <is>
          <t>Finance</t>
        </is>
      </c>
      <c r="E14" s="2" t="inlineStr">
        <is>
          <t>Accountant</t>
        </is>
      </c>
      <c r="F14" s="2" t="n">
        <v>5.5</v>
      </c>
      <c r="G14" s="3" t="n">
        <v>750000</v>
      </c>
      <c r="H14" s="2" t="n">
        <v>20</v>
      </c>
      <c r="I14" s="2" t="n">
        <v>1</v>
      </c>
      <c r="J14" s="2" t="inlineStr">
        <is>
          <t>No</t>
        </is>
      </c>
      <c r="K14" s="2" t="inlineStr">
        <is>
          <t>No</t>
        </is>
      </c>
      <c r="L14" s="3">
        <f>G14/12</f>
        <v/>
      </c>
      <c r="M14" s="2">
        <f>IF(F14&lt;=2,"0-2 yrs",IF(F14&lt;=5,"3-5 yrs",IF(F14&lt;=10,"6-10 yrs","10+ yrs")))</f>
        <v/>
      </c>
      <c r="N14" s="3">
        <f>MEDIANIFS($G$2:$G$201,$D$2:$D$201,D14)</f>
        <v/>
      </c>
      <c r="O14" s="2">
        <f>MIN(100,IF(F14&lt;=2,20,0)+IF(I14&lt;=2,25,0)+IF(G14&lt;N14,15,0)+IF(J14="Yes",20,0)+IF(H14&lt;5,10,0))</f>
        <v/>
      </c>
      <c r="P14" s="2">
        <f>IF(O14&gt;=70,"High",IF(O14&gt;=40,"Medium","Low"))</f>
        <v/>
      </c>
    </row>
    <row r="15">
      <c r="A15" s="2" t="inlineStr">
        <is>
          <t>EMP1015</t>
        </is>
      </c>
      <c r="B15" s="2" t="n">
        <v>32</v>
      </c>
      <c r="C15" s="2" t="inlineStr">
        <is>
          <t>M</t>
        </is>
      </c>
      <c r="D15" s="2" t="inlineStr">
        <is>
          <t>Finance</t>
        </is>
      </c>
      <c r="E15" s="2" t="inlineStr">
        <is>
          <t>Finance Executive</t>
        </is>
      </c>
      <c r="F15" s="2" t="n">
        <v>2</v>
      </c>
      <c r="G15" s="3" t="n">
        <v>540000</v>
      </c>
      <c r="H15" s="2" t="n">
        <v>12</v>
      </c>
      <c r="I15" s="2" t="n">
        <v>3</v>
      </c>
      <c r="J15" s="2" t="inlineStr">
        <is>
          <t>No</t>
        </is>
      </c>
      <c r="K15" s="2" t="inlineStr">
        <is>
          <t>Yes</t>
        </is>
      </c>
      <c r="L15" s="3">
        <f>G15/12</f>
        <v/>
      </c>
      <c r="M15" s="2">
        <f>IF(F15&lt;=2,"0-2 yrs",IF(F15&lt;=5,"3-5 yrs",IF(F15&lt;=10,"6-10 yrs","10+ yrs")))</f>
        <v/>
      </c>
      <c r="N15" s="3">
        <f>MEDIANIFS($G$2:$G$201,$D$2:$D$201,D15)</f>
        <v/>
      </c>
      <c r="O15" s="2">
        <f>MIN(100,IF(F15&lt;=2,20,0)+IF(I15&lt;=2,25,0)+IF(G15&lt;N15,15,0)+IF(J15="Yes",20,0)+IF(H15&lt;5,10,0))</f>
        <v/>
      </c>
      <c r="P15" s="2">
        <f>IF(O15&gt;=70,"High",IF(O15&gt;=40,"Medium","Low"))</f>
        <v/>
      </c>
    </row>
    <row r="16">
      <c r="A16" s="2" t="inlineStr">
        <is>
          <t>EMP1016</t>
        </is>
      </c>
      <c r="B16" s="2" t="n">
        <v>37</v>
      </c>
      <c r="C16" s="2" t="inlineStr">
        <is>
          <t>M</t>
        </is>
      </c>
      <c r="D16" s="2" t="inlineStr">
        <is>
          <t>IT</t>
        </is>
      </c>
      <c r="E16" s="2" t="inlineStr">
        <is>
          <t>Software Engineer</t>
        </is>
      </c>
      <c r="F16" s="2" t="n">
        <v>3.9</v>
      </c>
      <c r="G16" s="3" t="n">
        <v>870000</v>
      </c>
      <c r="H16" s="2" t="n">
        <v>13</v>
      </c>
      <c r="I16" s="2" t="n">
        <v>3</v>
      </c>
      <c r="J16" s="2" t="inlineStr">
        <is>
          <t>No</t>
        </is>
      </c>
      <c r="K16" s="2" t="inlineStr">
        <is>
          <t>No</t>
        </is>
      </c>
      <c r="L16" s="3">
        <f>G16/12</f>
        <v/>
      </c>
      <c r="M16" s="2">
        <f>IF(F16&lt;=2,"0-2 yrs",IF(F16&lt;=5,"3-5 yrs",IF(F16&lt;=10,"6-10 yrs","10+ yrs")))</f>
        <v/>
      </c>
      <c r="N16" s="3">
        <f>MEDIANIFS($G$2:$G$201,$D$2:$D$201,D16)</f>
        <v/>
      </c>
      <c r="O16" s="2">
        <f>MIN(100,IF(F16&lt;=2,20,0)+IF(I16&lt;=2,25,0)+IF(G16&lt;N16,15,0)+IF(J16="Yes",20,0)+IF(H16&lt;5,10,0))</f>
        <v/>
      </c>
      <c r="P16" s="2">
        <f>IF(O16&gt;=70,"High",IF(O16&gt;=40,"Medium","Low"))</f>
        <v/>
      </c>
    </row>
    <row r="17">
      <c r="A17" s="2" t="inlineStr">
        <is>
          <t>EMP1017</t>
        </is>
      </c>
      <c r="B17" s="2" t="n">
        <v>30</v>
      </c>
      <c r="C17" s="2" t="inlineStr">
        <is>
          <t>F</t>
        </is>
      </c>
      <c r="D17" s="2" t="inlineStr">
        <is>
          <t>Sales</t>
        </is>
      </c>
      <c r="E17" s="2" t="inlineStr">
        <is>
          <t>Business Development Executive</t>
        </is>
      </c>
      <c r="F17" s="2" t="n">
        <v>6.8</v>
      </c>
      <c r="G17" s="3" t="n">
        <v>900000</v>
      </c>
      <c r="H17" s="2" t="n">
        <v>25</v>
      </c>
      <c r="I17" s="2" t="n">
        <v>2</v>
      </c>
      <c r="J17" s="2" t="inlineStr">
        <is>
          <t>No</t>
        </is>
      </c>
      <c r="K17" s="2" t="inlineStr">
        <is>
          <t>No</t>
        </is>
      </c>
      <c r="L17" s="3">
        <f>G17/12</f>
        <v/>
      </c>
      <c r="M17" s="2">
        <f>IF(F17&lt;=2,"0-2 yrs",IF(F17&lt;=5,"3-5 yrs",IF(F17&lt;=10,"6-10 yrs","10+ yrs")))</f>
        <v/>
      </c>
      <c r="N17" s="3">
        <f>MEDIANIFS($G$2:$G$201,$D$2:$D$201,D17)</f>
        <v/>
      </c>
      <c r="O17" s="2">
        <f>MIN(100,IF(F17&lt;=2,20,0)+IF(I17&lt;=2,25,0)+IF(G17&lt;N17,15,0)+IF(J17="Yes",20,0)+IF(H17&lt;5,10,0))</f>
        <v/>
      </c>
      <c r="P17" s="2">
        <f>IF(O17&gt;=70,"High",IF(O17&gt;=40,"Medium","Low"))</f>
        <v/>
      </c>
    </row>
    <row r="18">
      <c r="A18" s="2" t="inlineStr">
        <is>
          <t>EMP1018</t>
        </is>
      </c>
      <c r="B18" s="2" t="n">
        <v>25</v>
      </c>
      <c r="C18" s="2" t="inlineStr">
        <is>
          <t>F</t>
        </is>
      </c>
      <c r="D18" s="2" t="inlineStr">
        <is>
          <t>Marketing</t>
        </is>
      </c>
      <c r="E18" s="2" t="inlineStr">
        <is>
          <t>Brand Executive</t>
        </is>
      </c>
      <c r="F18" s="2" t="n">
        <v>9.6</v>
      </c>
      <c r="G18" s="3" t="n">
        <v>665000</v>
      </c>
      <c r="H18" s="2" t="n">
        <v>35</v>
      </c>
      <c r="I18" s="2" t="n">
        <v>1</v>
      </c>
      <c r="J18" s="2" t="inlineStr">
        <is>
          <t>No</t>
        </is>
      </c>
      <c r="K18" s="2" t="inlineStr">
        <is>
          <t>No</t>
        </is>
      </c>
      <c r="L18" s="3">
        <f>G18/12</f>
        <v/>
      </c>
      <c r="M18" s="2">
        <f>IF(F18&lt;=2,"0-2 yrs",IF(F18&lt;=5,"3-5 yrs",IF(F18&lt;=10,"6-10 yrs","10+ yrs")))</f>
        <v/>
      </c>
      <c r="N18" s="3">
        <f>MEDIANIFS($G$2:$G$201,$D$2:$D$201,D18)</f>
        <v/>
      </c>
      <c r="O18" s="2">
        <f>MIN(100,IF(F18&lt;=2,20,0)+IF(I18&lt;=2,25,0)+IF(G18&lt;N18,15,0)+IF(J18="Yes",20,0)+IF(H18&lt;5,10,0))</f>
        <v/>
      </c>
      <c r="P18" s="2">
        <f>IF(O18&gt;=70,"High",IF(O18&gt;=40,"Medium","Low"))</f>
        <v/>
      </c>
    </row>
    <row r="19">
      <c r="A19" s="2" t="inlineStr">
        <is>
          <t>EMP1019</t>
        </is>
      </c>
      <c r="B19" s="2" t="n">
        <v>36</v>
      </c>
      <c r="C19" s="2" t="inlineStr">
        <is>
          <t>F</t>
        </is>
      </c>
      <c r="D19" s="2" t="inlineStr">
        <is>
          <t>Marketing</t>
        </is>
      </c>
      <c r="E19" s="2" t="inlineStr">
        <is>
          <t>Brand Executive</t>
        </is>
      </c>
      <c r="F19" s="2" t="n">
        <v>2.8</v>
      </c>
      <c r="G19" s="3" t="n">
        <v>475000</v>
      </c>
      <c r="H19" s="2" t="n">
        <v>14</v>
      </c>
      <c r="I19" s="2" t="n">
        <v>5</v>
      </c>
      <c r="J19" s="2" t="inlineStr">
        <is>
          <t>No</t>
        </is>
      </c>
      <c r="K19" s="2" t="inlineStr">
        <is>
          <t>No</t>
        </is>
      </c>
      <c r="L19" s="3">
        <f>G19/12</f>
        <v/>
      </c>
      <c r="M19" s="2">
        <f>IF(F19&lt;=2,"0-2 yrs",IF(F19&lt;=5,"3-5 yrs",IF(F19&lt;=10,"6-10 yrs","10+ yrs")))</f>
        <v/>
      </c>
      <c r="N19" s="3">
        <f>MEDIANIFS($G$2:$G$201,$D$2:$D$201,D19)</f>
        <v/>
      </c>
      <c r="O19" s="2">
        <f>MIN(100,IF(F19&lt;=2,20,0)+IF(I19&lt;=2,25,0)+IF(G19&lt;N19,15,0)+IF(J19="Yes",20,0)+IF(H19&lt;5,10,0))</f>
        <v/>
      </c>
      <c r="P19" s="2">
        <f>IF(O19&gt;=70,"High",IF(O19&gt;=40,"Medium","Low"))</f>
        <v/>
      </c>
    </row>
    <row r="20">
      <c r="A20" s="2" t="inlineStr">
        <is>
          <t>EMP1020</t>
        </is>
      </c>
      <c r="B20" s="2" t="n">
        <v>39</v>
      </c>
      <c r="C20" s="2" t="inlineStr">
        <is>
          <t>M</t>
        </is>
      </c>
      <c r="D20" s="2" t="inlineStr">
        <is>
          <t>Marketing</t>
        </is>
      </c>
      <c r="E20" s="2" t="inlineStr">
        <is>
          <t>Digital Marketing Analyst</t>
        </is>
      </c>
      <c r="F20" s="2" t="n">
        <v>12.3</v>
      </c>
      <c r="G20" s="3" t="n">
        <v>1205000</v>
      </c>
      <c r="H20" s="2" t="n">
        <v>3</v>
      </c>
      <c r="I20" s="2" t="n">
        <v>3</v>
      </c>
      <c r="J20" s="2" t="inlineStr">
        <is>
          <t>No</t>
        </is>
      </c>
      <c r="K20" s="2" t="inlineStr">
        <is>
          <t>No</t>
        </is>
      </c>
      <c r="L20" s="3">
        <f>G20/12</f>
        <v/>
      </c>
      <c r="M20" s="2">
        <f>IF(F20&lt;=2,"0-2 yrs",IF(F20&lt;=5,"3-5 yrs",IF(F20&lt;=10,"6-10 yrs","10+ yrs")))</f>
        <v/>
      </c>
      <c r="N20" s="3">
        <f>MEDIANIFS($G$2:$G$201,$D$2:$D$201,D20)</f>
        <v/>
      </c>
      <c r="O20" s="2">
        <f>MIN(100,IF(F20&lt;=2,20,0)+IF(I20&lt;=2,25,0)+IF(G20&lt;N20,15,0)+IF(J20="Yes",20,0)+IF(H20&lt;5,10,0))</f>
        <v/>
      </c>
      <c r="P20" s="2">
        <f>IF(O20&gt;=70,"High",IF(O20&gt;=40,"Medium","Low"))</f>
        <v/>
      </c>
    </row>
    <row r="21">
      <c r="A21" s="2" t="inlineStr">
        <is>
          <t>EMP1021</t>
        </is>
      </c>
      <c r="B21" s="2" t="n">
        <v>38</v>
      </c>
      <c r="C21" s="2" t="inlineStr">
        <is>
          <t>F</t>
        </is>
      </c>
      <c r="D21" s="2" t="inlineStr">
        <is>
          <t>Operations</t>
        </is>
      </c>
      <c r="E21" s="2" t="inlineStr">
        <is>
          <t>Operations Manager</t>
        </is>
      </c>
      <c r="F21" s="2" t="n">
        <v>11.7</v>
      </c>
      <c r="G21" s="3" t="n">
        <v>835000</v>
      </c>
      <c r="H21" s="2" t="n">
        <v>35</v>
      </c>
      <c r="I21" s="2" t="n">
        <v>3</v>
      </c>
      <c r="J21" s="2" t="inlineStr">
        <is>
          <t>No</t>
        </is>
      </c>
      <c r="K21" s="2" t="inlineStr">
        <is>
          <t>No</t>
        </is>
      </c>
      <c r="L21" s="3">
        <f>G21/12</f>
        <v/>
      </c>
      <c r="M21" s="2">
        <f>IF(F21&lt;=2,"0-2 yrs",IF(F21&lt;=5,"3-5 yrs",IF(F21&lt;=10,"6-10 yrs","10+ yrs")))</f>
        <v/>
      </c>
      <c r="N21" s="3">
        <f>MEDIANIFS($G$2:$G$201,$D$2:$D$201,D21)</f>
        <v/>
      </c>
      <c r="O21" s="2">
        <f>MIN(100,IF(F21&lt;=2,20,0)+IF(I21&lt;=2,25,0)+IF(G21&lt;N21,15,0)+IF(J21="Yes",20,0)+IF(H21&lt;5,10,0))</f>
        <v/>
      </c>
      <c r="P21" s="2">
        <f>IF(O21&gt;=70,"High",IF(O21&gt;=40,"Medium","Low"))</f>
        <v/>
      </c>
    </row>
    <row r="22">
      <c r="A22" s="2" t="inlineStr">
        <is>
          <t>EMP1022</t>
        </is>
      </c>
      <c r="B22" s="2" t="n">
        <v>21</v>
      </c>
      <c r="C22" s="2" t="inlineStr">
        <is>
          <t>F</t>
        </is>
      </c>
      <c r="D22" s="2" t="inlineStr">
        <is>
          <t>IT</t>
        </is>
      </c>
      <c r="E22" s="2" t="inlineStr">
        <is>
          <t>Software Engineer</t>
        </is>
      </c>
      <c r="F22" s="2" t="n">
        <v>4.7</v>
      </c>
      <c r="G22" s="3" t="n">
        <v>470000</v>
      </c>
      <c r="H22" s="2" t="n">
        <v>17</v>
      </c>
      <c r="I22" s="2" t="n">
        <v>2</v>
      </c>
      <c r="J22" s="2" t="inlineStr">
        <is>
          <t>No</t>
        </is>
      </c>
      <c r="K22" s="2" t="inlineStr">
        <is>
          <t>No</t>
        </is>
      </c>
      <c r="L22" s="3">
        <f>G22/12</f>
        <v/>
      </c>
      <c r="M22" s="2">
        <f>IF(F22&lt;=2,"0-2 yrs",IF(F22&lt;=5,"3-5 yrs",IF(F22&lt;=10,"6-10 yrs","10+ yrs")))</f>
        <v/>
      </c>
      <c r="N22" s="3">
        <f>MEDIANIFS($G$2:$G$201,$D$2:$D$201,D22)</f>
        <v/>
      </c>
      <c r="O22" s="2">
        <f>MIN(100,IF(F22&lt;=2,20,0)+IF(I22&lt;=2,25,0)+IF(G22&lt;N22,15,0)+IF(J22="Yes",20,0)+IF(H22&lt;5,10,0))</f>
        <v/>
      </c>
      <c r="P22" s="2">
        <f>IF(O22&gt;=70,"High",IF(O22&gt;=40,"Medium","Low"))</f>
        <v/>
      </c>
    </row>
    <row r="23">
      <c r="A23" s="2" t="inlineStr">
        <is>
          <t>EMP1023</t>
        </is>
      </c>
      <c r="B23" s="2" t="n">
        <v>28</v>
      </c>
      <c r="C23" s="2" t="inlineStr">
        <is>
          <t>M</t>
        </is>
      </c>
      <c r="D23" s="2" t="inlineStr">
        <is>
          <t>Marketing</t>
        </is>
      </c>
      <c r="E23" s="2" t="inlineStr">
        <is>
          <t>Brand Executive</t>
        </is>
      </c>
      <c r="F23" s="2" t="n">
        <v>4.8</v>
      </c>
      <c r="G23" s="3" t="n">
        <v>345000</v>
      </c>
      <c r="H23" s="2" t="n">
        <v>10</v>
      </c>
      <c r="I23" s="2" t="n">
        <v>2</v>
      </c>
      <c r="J23" s="2" t="inlineStr">
        <is>
          <t>No</t>
        </is>
      </c>
      <c r="K23" s="2" t="inlineStr">
        <is>
          <t>No</t>
        </is>
      </c>
      <c r="L23" s="3">
        <f>G23/12</f>
        <v/>
      </c>
      <c r="M23" s="2">
        <f>IF(F23&lt;=2,"0-2 yrs",IF(F23&lt;=5,"3-5 yrs",IF(F23&lt;=10,"6-10 yrs","10+ yrs")))</f>
        <v/>
      </c>
      <c r="N23" s="3">
        <f>MEDIANIFS($G$2:$G$201,$D$2:$D$201,D23)</f>
        <v/>
      </c>
      <c r="O23" s="2">
        <f>MIN(100,IF(F23&lt;=2,20,0)+IF(I23&lt;=2,25,0)+IF(G23&lt;N23,15,0)+IF(J23="Yes",20,0)+IF(H23&lt;5,10,0))</f>
        <v/>
      </c>
      <c r="P23" s="2">
        <f>IF(O23&gt;=70,"High",IF(O23&gt;=40,"Medium","Low"))</f>
        <v/>
      </c>
    </row>
    <row r="24">
      <c r="A24" s="2" t="inlineStr">
        <is>
          <t>EMP1024</t>
        </is>
      </c>
      <c r="B24" s="2" t="n">
        <v>31</v>
      </c>
      <c r="C24" s="2" t="inlineStr">
        <is>
          <t>F</t>
        </is>
      </c>
      <c r="D24" s="2" t="inlineStr">
        <is>
          <t>Operations</t>
        </is>
      </c>
      <c r="E24" s="2" t="inlineStr">
        <is>
          <t>Operations Executive</t>
        </is>
      </c>
      <c r="F24" s="2" t="n">
        <v>9.5</v>
      </c>
      <c r="G24" s="3" t="n">
        <v>965000</v>
      </c>
      <c r="H24" s="2" t="n">
        <v>24</v>
      </c>
      <c r="I24" s="2" t="n">
        <v>3</v>
      </c>
      <c r="J24" s="2" t="inlineStr">
        <is>
          <t>Yes</t>
        </is>
      </c>
      <c r="K24" s="2" t="inlineStr">
        <is>
          <t>No</t>
        </is>
      </c>
      <c r="L24" s="3">
        <f>G24/12</f>
        <v/>
      </c>
      <c r="M24" s="2">
        <f>IF(F24&lt;=2,"0-2 yrs",IF(F24&lt;=5,"3-5 yrs",IF(F24&lt;=10,"6-10 yrs","10+ yrs")))</f>
        <v/>
      </c>
      <c r="N24" s="3">
        <f>MEDIANIFS($G$2:$G$201,$D$2:$D$201,D24)</f>
        <v/>
      </c>
      <c r="O24" s="2">
        <f>MIN(100,IF(F24&lt;=2,20,0)+IF(I24&lt;=2,25,0)+IF(G24&lt;N24,15,0)+IF(J24="Yes",20,0)+IF(H24&lt;5,10,0))</f>
        <v/>
      </c>
      <c r="P24" s="2">
        <f>IF(O24&gt;=70,"High",IF(O24&gt;=40,"Medium","Low"))</f>
        <v/>
      </c>
    </row>
    <row r="25">
      <c r="A25" s="2" t="inlineStr">
        <is>
          <t>EMP1025</t>
        </is>
      </c>
      <c r="B25" s="2" t="n">
        <v>25</v>
      </c>
      <c r="C25" s="2" t="inlineStr">
        <is>
          <t>F</t>
        </is>
      </c>
      <c r="D25" s="2" t="inlineStr">
        <is>
          <t>Finance</t>
        </is>
      </c>
      <c r="E25" s="2" t="inlineStr">
        <is>
          <t>Accountant</t>
        </is>
      </c>
      <c r="F25" s="2" t="n">
        <v>14.1</v>
      </c>
      <c r="G25" s="3" t="n">
        <v>720000</v>
      </c>
      <c r="H25" s="2" t="n">
        <v>23</v>
      </c>
      <c r="I25" s="2" t="n">
        <v>5</v>
      </c>
      <c r="J25" s="2" t="inlineStr">
        <is>
          <t>Yes</t>
        </is>
      </c>
      <c r="K25" s="2" t="inlineStr">
        <is>
          <t>No</t>
        </is>
      </c>
      <c r="L25" s="3">
        <f>G25/12</f>
        <v/>
      </c>
      <c r="M25" s="2">
        <f>IF(F25&lt;=2,"0-2 yrs",IF(F25&lt;=5,"3-5 yrs",IF(F25&lt;=10,"6-10 yrs","10+ yrs")))</f>
        <v/>
      </c>
      <c r="N25" s="3">
        <f>MEDIANIFS($G$2:$G$201,$D$2:$D$201,D25)</f>
        <v/>
      </c>
      <c r="O25" s="2">
        <f>MIN(100,IF(F25&lt;=2,20,0)+IF(I25&lt;=2,25,0)+IF(G25&lt;N25,15,0)+IF(J25="Yes",20,0)+IF(H25&lt;5,10,0))</f>
        <v/>
      </c>
      <c r="P25" s="2">
        <f>IF(O25&gt;=70,"High",IF(O25&gt;=40,"Medium","Low"))</f>
        <v/>
      </c>
    </row>
    <row r="26">
      <c r="A26" s="2" t="inlineStr">
        <is>
          <t>EMP1026</t>
        </is>
      </c>
      <c r="B26" s="2" t="n">
        <v>29</v>
      </c>
      <c r="C26" s="2" t="inlineStr">
        <is>
          <t>M</t>
        </is>
      </c>
      <c r="D26" s="2" t="inlineStr">
        <is>
          <t>Sales</t>
        </is>
      </c>
      <c r="E26" s="2" t="inlineStr">
        <is>
          <t>Sales Executive</t>
        </is>
      </c>
      <c r="F26" s="2" t="n">
        <v>14.7</v>
      </c>
      <c r="G26" s="3" t="n">
        <v>545000</v>
      </c>
      <c r="H26" s="2" t="n">
        <v>8</v>
      </c>
      <c r="I26" s="2" t="n">
        <v>3</v>
      </c>
      <c r="J26" s="2" t="inlineStr">
        <is>
          <t>No</t>
        </is>
      </c>
      <c r="K26" s="2" t="inlineStr">
        <is>
          <t>No</t>
        </is>
      </c>
      <c r="L26" s="3">
        <f>G26/12</f>
        <v/>
      </c>
      <c r="M26" s="2">
        <f>IF(F26&lt;=2,"0-2 yrs",IF(F26&lt;=5,"3-5 yrs",IF(F26&lt;=10,"6-10 yrs","10+ yrs")))</f>
        <v/>
      </c>
      <c r="N26" s="3">
        <f>MEDIANIFS($G$2:$G$201,$D$2:$D$201,D26)</f>
        <v/>
      </c>
      <c r="O26" s="2">
        <f>MIN(100,IF(F26&lt;=2,20,0)+IF(I26&lt;=2,25,0)+IF(G26&lt;N26,15,0)+IF(J26="Yes",20,0)+IF(H26&lt;5,10,0))</f>
        <v/>
      </c>
      <c r="P26" s="2">
        <f>IF(O26&gt;=70,"High",IF(O26&gt;=40,"Medium","Low"))</f>
        <v/>
      </c>
    </row>
    <row r="27">
      <c r="A27" s="2" t="inlineStr">
        <is>
          <t>EMP1027</t>
        </is>
      </c>
      <c r="B27" s="2" t="n">
        <v>27</v>
      </c>
      <c r="C27" s="2" t="inlineStr">
        <is>
          <t>F</t>
        </is>
      </c>
      <c r="D27" s="2" t="inlineStr">
        <is>
          <t>Sales</t>
        </is>
      </c>
      <c r="E27" s="2" t="inlineStr">
        <is>
          <t>Sales Manager</t>
        </is>
      </c>
      <c r="F27" s="2" t="n">
        <v>1.6</v>
      </c>
      <c r="G27" s="3" t="n">
        <v>360000</v>
      </c>
      <c r="H27" s="2" t="n">
        <v>10</v>
      </c>
      <c r="I27" s="2" t="n">
        <v>3</v>
      </c>
      <c r="J27" s="2" t="inlineStr">
        <is>
          <t>Yes</t>
        </is>
      </c>
      <c r="K27" s="2" t="inlineStr">
        <is>
          <t>No</t>
        </is>
      </c>
      <c r="L27" s="3">
        <f>G27/12</f>
        <v/>
      </c>
      <c r="M27" s="2">
        <f>IF(F27&lt;=2,"0-2 yrs",IF(F27&lt;=5,"3-5 yrs",IF(F27&lt;=10,"6-10 yrs","10+ yrs")))</f>
        <v/>
      </c>
      <c r="N27" s="3">
        <f>MEDIANIFS($G$2:$G$201,$D$2:$D$201,D27)</f>
        <v/>
      </c>
      <c r="O27" s="2">
        <f>MIN(100,IF(F27&lt;=2,20,0)+IF(I27&lt;=2,25,0)+IF(G27&lt;N27,15,0)+IF(J27="Yes",20,0)+IF(H27&lt;5,10,0))</f>
        <v/>
      </c>
      <c r="P27" s="2">
        <f>IF(O27&gt;=70,"High",IF(O27&gt;=40,"Medium","Low"))</f>
        <v/>
      </c>
    </row>
    <row r="28">
      <c r="A28" s="2" t="inlineStr">
        <is>
          <t>EMP1028</t>
        </is>
      </c>
      <c r="B28" s="2" t="n">
        <v>21</v>
      </c>
      <c r="C28" s="2" t="inlineStr">
        <is>
          <t>M</t>
        </is>
      </c>
      <c r="D28" s="2" t="inlineStr">
        <is>
          <t>Finance</t>
        </is>
      </c>
      <c r="E28" s="2" t="inlineStr">
        <is>
          <t>Financial Analyst</t>
        </is>
      </c>
      <c r="F28" s="2" t="n">
        <v>10.7</v>
      </c>
      <c r="G28" s="3" t="n">
        <v>750000</v>
      </c>
      <c r="H28" s="2" t="n">
        <v>23</v>
      </c>
      <c r="I28" s="2" t="n">
        <v>4</v>
      </c>
      <c r="J28" s="2" t="inlineStr">
        <is>
          <t>No</t>
        </is>
      </c>
      <c r="K28" s="2" t="inlineStr">
        <is>
          <t>No</t>
        </is>
      </c>
      <c r="L28" s="3">
        <f>G28/12</f>
        <v/>
      </c>
      <c r="M28" s="2">
        <f>IF(F28&lt;=2,"0-2 yrs",IF(F28&lt;=5,"3-5 yrs",IF(F28&lt;=10,"6-10 yrs","10+ yrs")))</f>
        <v/>
      </c>
      <c r="N28" s="3">
        <f>MEDIANIFS($G$2:$G$201,$D$2:$D$201,D28)</f>
        <v/>
      </c>
      <c r="O28" s="2">
        <f>MIN(100,IF(F28&lt;=2,20,0)+IF(I28&lt;=2,25,0)+IF(G28&lt;N28,15,0)+IF(J28="Yes",20,0)+IF(H28&lt;5,10,0))</f>
        <v/>
      </c>
      <c r="P28" s="2">
        <f>IF(O28&gt;=70,"High",IF(O28&gt;=40,"Medium","Low"))</f>
        <v/>
      </c>
    </row>
    <row r="29">
      <c r="A29" s="2" t="inlineStr">
        <is>
          <t>EMP1029</t>
        </is>
      </c>
      <c r="B29" s="2" t="n">
        <v>54</v>
      </c>
      <c r="C29" s="2" t="inlineStr">
        <is>
          <t>M</t>
        </is>
      </c>
      <c r="D29" s="2" t="inlineStr">
        <is>
          <t>Operations</t>
        </is>
      </c>
      <c r="E29" s="2" t="inlineStr">
        <is>
          <t>Process Analyst</t>
        </is>
      </c>
      <c r="F29" s="2" t="n">
        <v>13.4</v>
      </c>
      <c r="G29" s="3" t="n">
        <v>685000</v>
      </c>
      <c r="H29" s="2" t="n">
        <v>9</v>
      </c>
      <c r="I29" s="2" t="n">
        <v>1</v>
      </c>
      <c r="J29" s="2" t="inlineStr">
        <is>
          <t>No</t>
        </is>
      </c>
      <c r="K29" s="2" t="inlineStr">
        <is>
          <t>No</t>
        </is>
      </c>
      <c r="L29" s="3">
        <f>G29/12</f>
        <v/>
      </c>
      <c r="M29" s="2">
        <f>IF(F29&lt;=2,"0-2 yrs",IF(F29&lt;=5,"3-5 yrs",IF(F29&lt;=10,"6-10 yrs","10+ yrs")))</f>
        <v/>
      </c>
      <c r="N29" s="3">
        <f>MEDIANIFS($G$2:$G$201,$D$2:$D$201,D29)</f>
        <v/>
      </c>
      <c r="O29" s="2">
        <f>MIN(100,IF(F29&lt;=2,20,0)+IF(I29&lt;=2,25,0)+IF(G29&lt;N29,15,0)+IF(J29="Yes",20,0)+IF(H29&lt;5,10,0))</f>
        <v/>
      </c>
      <c r="P29" s="2">
        <f>IF(O29&gt;=70,"High",IF(O29&gt;=40,"Medium","Low"))</f>
        <v/>
      </c>
    </row>
    <row r="30">
      <c r="A30" s="2" t="inlineStr">
        <is>
          <t>EMP1030</t>
        </is>
      </c>
      <c r="B30" s="2" t="n">
        <v>28</v>
      </c>
      <c r="C30" s="2" t="inlineStr">
        <is>
          <t>M</t>
        </is>
      </c>
      <c r="D30" s="2" t="inlineStr">
        <is>
          <t>IT</t>
        </is>
      </c>
      <c r="E30" s="2" t="inlineStr">
        <is>
          <t>Software Engineer</t>
        </is>
      </c>
      <c r="F30" s="2" t="n">
        <v>8.9</v>
      </c>
      <c r="G30" s="3" t="n">
        <v>885000</v>
      </c>
      <c r="H30" s="2" t="n">
        <v>12</v>
      </c>
      <c r="I30" s="2" t="n">
        <v>5</v>
      </c>
      <c r="J30" s="2" t="inlineStr">
        <is>
          <t>No</t>
        </is>
      </c>
      <c r="K30" s="2" t="inlineStr">
        <is>
          <t>No</t>
        </is>
      </c>
      <c r="L30" s="3">
        <f>G30/12</f>
        <v/>
      </c>
      <c r="M30" s="2">
        <f>IF(F30&lt;=2,"0-2 yrs",IF(F30&lt;=5,"3-5 yrs",IF(F30&lt;=10,"6-10 yrs","10+ yrs")))</f>
        <v/>
      </c>
      <c r="N30" s="3">
        <f>MEDIANIFS($G$2:$G$201,$D$2:$D$201,D30)</f>
        <v/>
      </c>
      <c r="O30" s="2">
        <f>MIN(100,IF(F30&lt;=2,20,0)+IF(I30&lt;=2,25,0)+IF(G30&lt;N30,15,0)+IF(J30="Yes",20,0)+IF(H30&lt;5,10,0))</f>
        <v/>
      </c>
      <c r="P30" s="2">
        <f>IF(O30&gt;=70,"High",IF(O30&gt;=40,"Medium","Low"))</f>
        <v/>
      </c>
    </row>
    <row r="31">
      <c r="A31" s="2" t="inlineStr">
        <is>
          <t>EMP1031</t>
        </is>
      </c>
      <c r="B31" s="2" t="n">
        <v>35</v>
      </c>
      <c r="C31" s="2" t="inlineStr">
        <is>
          <t>F</t>
        </is>
      </c>
      <c r="D31" s="2" t="inlineStr">
        <is>
          <t>Finance</t>
        </is>
      </c>
      <c r="E31" s="2" t="inlineStr">
        <is>
          <t>Accountant</t>
        </is>
      </c>
      <c r="F31" s="2" t="n">
        <v>6.3</v>
      </c>
      <c r="G31" s="3" t="n">
        <v>625000</v>
      </c>
      <c r="H31" s="2" t="n">
        <v>13</v>
      </c>
      <c r="I31" s="2" t="n">
        <v>3</v>
      </c>
      <c r="J31" s="2" t="inlineStr">
        <is>
          <t>No</t>
        </is>
      </c>
      <c r="K31" s="2" t="inlineStr">
        <is>
          <t>No</t>
        </is>
      </c>
      <c r="L31" s="3">
        <f>G31/12</f>
        <v/>
      </c>
      <c r="M31" s="2">
        <f>IF(F31&lt;=2,"0-2 yrs",IF(F31&lt;=5,"3-5 yrs",IF(F31&lt;=10,"6-10 yrs","10+ yrs")))</f>
        <v/>
      </c>
      <c r="N31" s="3">
        <f>MEDIANIFS($G$2:$G$201,$D$2:$D$201,D31)</f>
        <v/>
      </c>
      <c r="O31" s="2">
        <f>MIN(100,IF(F31&lt;=2,20,0)+IF(I31&lt;=2,25,0)+IF(G31&lt;N31,15,0)+IF(J31="Yes",20,0)+IF(H31&lt;5,10,0))</f>
        <v/>
      </c>
      <c r="P31" s="2">
        <f>IF(O31&gt;=70,"High",IF(O31&gt;=40,"Medium","Low"))</f>
        <v/>
      </c>
    </row>
    <row r="32">
      <c r="A32" s="2" t="inlineStr">
        <is>
          <t>EMP1032</t>
        </is>
      </c>
      <c r="B32" s="2" t="n">
        <v>41</v>
      </c>
      <c r="C32" s="2" t="inlineStr">
        <is>
          <t>M</t>
        </is>
      </c>
      <c r="D32" s="2" t="inlineStr">
        <is>
          <t>Finance</t>
        </is>
      </c>
      <c r="E32" s="2" t="inlineStr">
        <is>
          <t>Financial Analyst</t>
        </is>
      </c>
      <c r="F32" s="2" t="n">
        <v>1.4</v>
      </c>
      <c r="G32" s="3" t="n">
        <v>500000</v>
      </c>
      <c r="H32" s="2" t="n">
        <v>13</v>
      </c>
      <c r="I32" s="2" t="n">
        <v>3</v>
      </c>
      <c r="J32" s="2" t="inlineStr">
        <is>
          <t>No</t>
        </is>
      </c>
      <c r="K32" s="2" t="inlineStr">
        <is>
          <t>No</t>
        </is>
      </c>
      <c r="L32" s="3">
        <f>G32/12</f>
        <v/>
      </c>
      <c r="M32" s="2">
        <f>IF(F32&lt;=2,"0-2 yrs",IF(F32&lt;=5,"3-5 yrs",IF(F32&lt;=10,"6-10 yrs","10+ yrs")))</f>
        <v/>
      </c>
      <c r="N32" s="3">
        <f>MEDIANIFS($G$2:$G$201,$D$2:$D$201,D32)</f>
        <v/>
      </c>
      <c r="O32" s="2">
        <f>MIN(100,IF(F32&lt;=2,20,0)+IF(I32&lt;=2,25,0)+IF(G32&lt;N32,15,0)+IF(J32="Yes",20,0)+IF(H32&lt;5,10,0))</f>
        <v/>
      </c>
      <c r="P32" s="2">
        <f>IF(O32&gt;=70,"High",IF(O32&gt;=40,"Medium","Low"))</f>
        <v/>
      </c>
    </row>
    <row r="33">
      <c r="A33" s="2" t="inlineStr">
        <is>
          <t>EMP1033</t>
        </is>
      </c>
      <c r="B33" s="2" t="n">
        <v>27</v>
      </c>
      <c r="C33" s="2" t="inlineStr">
        <is>
          <t>F</t>
        </is>
      </c>
      <c r="D33" s="2" t="inlineStr">
        <is>
          <t>IT</t>
        </is>
      </c>
      <c r="E33" s="2" t="inlineStr">
        <is>
          <t>IT Support</t>
        </is>
      </c>
      <c r="F33" s="2" t="n">
        <v>14.3</v>
      </c>
      <c r="G33" s="3" t="n">
        <v>1010000</v>
      </c>
      <c r="H33" s="2" t="n">
        <v>13</v>
      </c>
      <c r="I33" s="2" t="n">
        <v>1</v>
      </c>
      <c r="J33" s="2" t="inlineStr">
        <is>
          <t>No</t>
        </is>
      </c>
      <c r="K33" s="2" t="inlineStr">
        <is>
          <t>Yes</t>
        </is>
      </c>
      <c r="L33" s="3">
        <f>G33/12</f>
        <v/>
      </c>
      <c r="M33" s="2">
        <f>IF(F33&lt;=2,"0-2 yrs",IF(F33&lt;=5,"3-5 yrs",IF(F33&lt;=10,"6-10 yrs","10+ yrs")))</f>
        <v/>
      </c>
      <c r="N33" s="3">
        <f>MEDIANIFS($G$2:$G$201,$D$2:$D$201,D33)</f>
        <v/>
      </c>
      <c r="O33" s="2">
        <f>MIN(100,IF(F33&lt;=2,20,0)+IF(I33&lt;=2,25,0)+IF(G33&lt;N33,15,0)+IF(J33="Yes",20,0)+IF(H33&lt;5,10,0))</f>
        <v/>
      </c>
      <c r="P33" s="2">
        <f>IF(O33&gt;=70,"High",IF(O33&gt;=40,"Medium","Low"))</f>
        <v/>
      </c>
    </row>
    <row r="34">
      <c r="A34" s="2" t="inlineStr">
        <is>
          <t>EMP1034</t>
        </is>
      </c>
      <c r="B34" s="2" t="n">
        <v>35</v>
      </c>
      <c r="C34" s="2" t="inlineStr">
        <is>
          <t>M</t>
        </is>
      </c>
      <c r="D34" s="2" t="inlineStr">
        <is>
          <t>Finance</t>
        </is>
      </c>
      <c r="E34" s="2" t="inlineStr">
        <is>
          <t>Financial Analyst</t>
        </is>
      </c>
      <c r="F34" s="2" t="n">
        <v>5.3</v>
      </c>
      <c r="G34" s="3" t="n">
        <v>780000</v>
      </c>
      <c r="H34" s="2" t="n">
        <v>0</v>
      </c>
      <c r="I34" s="2" t="n">
        <v>4</v>
      </c>
      <c r="J34" s="2" t="inlineStr">
        <is>
          <t>No</t>
        </is>
      </c>
      <c r="K34" s="2" t="inlineStr">
        <is>
          <t>Yes</t>
        </is>
      </c>
      <c r="L34" s="3">
        <f>G34/12</f>
        <v/>
      </c>
      <c r="M34" s="2">
        <f>IF(F34&lt;=2,"0-2 yrs",IF(F34&lt;=5,"3-5 yrs",IF(F34&lt;=10,"6-10 yrs","10+ yrs")))</f>
        <v/>
      </c>
      <c r="N34" s="3">
        <f>MEDIANIFS($G$2:$G$201,$D$2:$D$201,D34)</f>
        <v/>
      </c>
      <c r="O34" s="2">
        <f>MIN(100,IF(F34&lt;=2,20,0)+IF(I34&lt;=2,25,0)+IF(G34&lt;N34,15,0)+IF(J34="Yes",20,0)+IF(H34&lt;5,10,0))</f>
        <v/>
      </c>
      <c r="P34" s="2">
        <f>IF(O34&gt;=70,"High",IF(O34&gt;=40,"Medium","Low"))</f>
        <v/>
      </c>
    </row>
    <row r="35">
      <c r="A35" s="2" t="inlineStr">
        <is>
          <t>EMP1035</t>
        </is>
      </c>
      <c r="B35" s="2" t="n">
        <v>23</v>
      </c>
      <c r="C35" s="2" t="inlineStr">
        <is>
          <t>M</t>
        </is>
      </c>
      <c r="D35" s="2" t="inlineStr">
        <is>
          <t>IT</t>
        </is>
      </c>
      <c r="E35" s="2" t="inlineStr">
        <is>
          <t>Software Engineer</t>
        </is>
      </c>
      <c r="F35" s="2" t="n">
        <v>9.5</v>
      </c>
      <c r="G35" s="3" t="n">
        <v>1075000</v>
      </c>
      <c r="H35" s="2" t="n">
        <v>22</v>
      </c>
      <c r="I35" s="2" t="n">
        <v>4</v>
      </c>
      <c r="J35" s="2" t="inlineStr">
        <is>
          <t>No</t>
        </is>
      </c>
      <c r="K35" s="2" t="inlineStr">
        <is>
          <t>No</t>
        </is>
      </c>
      <c r="L35" s="3">
        <f>G35/12</f>
        <v/>
      </c>
      <c r="M35" s="2">
        <f>IF(F35&lt;=2,"0-2 yrs",IF(F35&lt;=5,"3-5 yrs",IF(F35&lt;=10,"6-10 yrs","10+ yrs")))</f>
        <v/>
      </c>
      <c r="N35" s="3">
        <f>MEDIANIFS($G$2:$G$201,$D$2:$D$201,D35)</f>
        <v/>
      </c>
      <c r="O35" s="2">
        <f>MIN(100,IF(F35&lt;=2,20,0)+IF(I35&lt;=2,25,0)+IF(G35&lt;N35,15,0)+IF(J35="Yes",20,0)+IF(H35&lt;5,10,0))</f>
        <v/>
      </c>
      <c r="P35" s="2">
        <f>IF(O35&gt;=70,"High",IF(O35&gt;=40,"Medium","Low"))</f>
        <v/>
      </c>
    </row>
    <row r="36">
      <c r="A36" s="2" t="inlineStr">
        <is>
          <t>EMP1036</t>
        </is>
      </c>
      <c r="B36" s="2" t="n">
        <v>34</v>
      </c>
      <c r="C36" s="2" t="inlineStr">
        <is>
          <t>F</t>
        </is>
      </c>
      <c r="D36" s="2" t="inlineStr">
        <is>
          <t>Operations</t>
        </is>
      </c>
      <c r="E36" s="2" t="inlineStr">
        <is>
          <t>Operations Executive</t>
        </is>
      </c>
      <c r="F36" s="2" t="n">
        <v>9.6</v>
      </c>
      <c r="G36" s="3" t="n">
        <v>875000</v>
      </c>
      <c r="H36" s="2" t="n">
        <v>39</v>
      </c>
      <c r="I36" s="2" t="n">
        <v>5</v>
      </c>
      <c r="J36" s="2" t="inlineStr">
        <is>
          <t>No</t>
        </is>
      </c>
      <c r="K36" s="2" t="inlineStr">
        <is>
          <t>No</t>
        </is>
      </c>
      <c r="L36" s="3">
        <f>G36/12</f>
        <v/>
      </c>
      <c r="M36" s="2">
        <f>IF(F36&lt;=2,"0-2 yrs",IF(F36&lt;=5,"3-5 yrs",IF(F36&lt;=10,"6-10 yrs","10+ yrs")))</f>
        <v/>
      </c>
      <c r="N36" s="3">
        <f>MEDIANIFS($G$2:$G$201,$D$2:$D$201,D36)</f>
        <v/>
      </c>
      <c r="O36" s="2">
        <f>MIN(100,IF(F36&lt;=2,20,0)+IF(I36&lt;=2,25,0)+IF(G36&lt;N36,15,0)+IF(J36="Yes",20,0)+IF(H36&lt;5,10,0))</f>
        <v/>
      </c>
      <c r="P36" s="2">
        <f>IF(O36&gt;=70,"High",IF(O36&gt;=40,"Medium","Low"))</f>
        <v/>
      </c>
    </row>
    <row r="37">
      <c r="A37" s="2" t="inlineStr">
        <is>
          <t>EMP1037</t>
        </is>
      </c>
      <c r="B37" s="2" t="n">
        <v>21</v>
      </c>
      <c r="C37" s="2" t="inlineStr">
        <is>
          <t>M</t>
        </is>
      </c>
      <c r="D37" s="2" t="inlineStr">
        <is>
          <t>Customer Support</t>
        </is>
      </c>
      <c r="E37" s="2" t="inlineStr">
        <is>
          <t>Support Analyst</t>
        </is>
      </c>
      <c r="F37" s="2" t="n">
        <v>3.1</v>
      </c>
      <c r="G37" s="3" t="n">
        <v>555000</v>
      </c>
      <c r="H37" s="2" t="n">
        <v>16</v>
      </c>
      <c r="I37" s="2" t="n">
        <v>4</v>
      </c>
      <c r="J37" s="2" t="inlineStr">
        <is>
          <t>Yes</t>
        </is>
      </c>
      <c r="K37" s="2" t="inlineStr">
        <is>
          <t>No</t>
        </is>
      </c>
      <c r="L37" s="3">
        <f>G37/12</f>
        <v/>
      </c>
      <c r="M37" s="2">
        <f>IF(F37&lt;=2,"0-2 yrs",IF(F37&lt;=5,"3-5 yrs",IF(F37&lt;=10,"6-10 yrs","10+ yrs")))</f>
        <v/>
      </c>
      <c r="N37" s="3">
        <f>MEDIANIFS($G$2:$G$201,$D$2:$D$201,D37)</f>
        <v/>
      </c>
      <c r="O37" s="2">
        <f>MIN(100,IF(F37&lt;=2,20,0)+IF(I37&lt;=2,25,0)+IF(G37&lt;N37,15,0)+IF(J37="Yes",20,0)+IF(H37&lt;5,10,0))</f>
        <v/>
      </c>
      <c r="P37" s="2">
        <f>IF(O37&gt;=70,"High",IF(O37&gt;=40,"Medium","Low"))</f>
        <v/>
      </c>
    </row>
    <row r="38">
      <c r="A38" s="2" t="inlineStr">
        <is>
          <t>EMP1038</t>
        </is>
      </c>
      <c r="B38" s="2" t="n">
        <v>23</v>
      </c>
      <c r="C38" s="2" t="inlineStr">
        <is>
          <t>M</t>
        </is>
      </c>
      <c r="D38" s="2" t="inlineStr">
        <is>
          <t>IT</t>
        </is>
      </c>
      <c r="E38" s="2" t="inlineStr">
        <is>
          <t>Data Analyst</t>
        </is>
      </c>
      <c r="F38" s="2" t="n">
        <v>10.3</v>
      </c>
      <c r="G38" s="3" t="n">
        <v>465000</v>
      </c>
      <c r="H38" s="2" t="n">
        <v>27</v>
      </c>
      <c r="I38" s="2" t="n">
        <v>4</v>
      </c>
      <c r="J38" s="2" t="inlineStr">
        <is>
          <t>No</t>
        </is>
      </c>
      <c r="K38" s="2" t="inlineStr">
        <is>
          <t>No</t>
        </is>
      </c>
      <c r="L38" s="3">
        <f>G38/12</f>
        <v/>
      </c>
      <c r="M38" s="2">
        <f>IF(F38&lt;=2,"0-2 yrs",IF(F38&lt;=5,"3-5 yrs",IF(F38&lt;=10,"6-10 yrs","10+ yrs")))</f>
        <v/>
      </c>
      <c r="N38" s="3">
        <f>MEDIANIFS($G$2:$G$201,$D$2:$D$201,D38)</f>
        <v/>
      </c>
      <c r="O38" s="2">
        <f>MIN(100,IF(F38&lt;=2,20,0)+IF(I38&lt;=2,25,0)+IF(G38&lt;N38,15,0)+IF(J38="Yes",20,0)+IF(H38&lt;5,10,0))</f>
        <v/>
      </c>
      <c r="P38" s="2">
        <f>IF(O38&gt;=70,"High",IF(O38&gt;=40,"Medium","Low"))</f>
        <v/>
      </c>
    </row>
    <row r="39">
      <c r="A39" s="2" t="inlineStr">
        <is>
          <t>EMP1039</t>
        </is>
      </c>
      <c r="B39" s="2" t="n">
        <v>39</v>
      </c>
      <c r="C39" s="2" t="inlineStr">
        <is>
          <t>F</t>
        </is>
      </c>
      <c r="D39" s="2" t="inlineStr">
        <is>
          <t>IT</t>
        </is>
      </c>
      <c r="E39" s="2" t="inlineStr">
        <is>
          <t>IT Support</t>
        </is>
      </c>
      <c r="F39" s="2" t="n">
        <v>2.8</v>
      </c>
      <c r="G39" s="3" t="n">
        <v>645000</v>
      </c>
      <c r="H39" s="2" t="n">
        <v>19</v>
      </c>
      <c r="I39" s="2" t="n">
        <v>3</v>
      </c>
      <c r="J39" s="2" t="inlineStr">
        <is>
          <t>No</t>
        </is>
      </c>
      <c r="K39" s="2" t="inlineStr">
        <is>
          <t>No</t>
        </is>
      </c>
      <c r="L39" s="3">
        <f>G39/12</f>
        <v/>
      </c>
      <c r="M39" s="2">
        <f>IF(F39&lt;=2,"0-2 yrs",IF(F39&lt;=5,"3-5 yrs",IF(F39&lt;=10,"6-10 yrs","10+ yrs")))</f>
        <v/>
      </c>
      <c r="N39" s="3">
        <f>MEDIANIFS($G$2:$G$201,$D$2:$D$201,D39)</f>
        <v/>
      </c>
      <c r="O39" s="2">
        <f>MIN(100,IF(F39&lt;=2,20,0)+IF(I39&lt;=2,25,0)+IF(G39&lt;N39,15,0)+IF(J39="Yes",20,0)+IF(H39&lt;5,10,0))</f>
        <v/>
      </c>
      <c r="P39" s="2">
        <f>IF(O39&gt;=70,"High",IF(O39&gt;=40,"Medium","Low"))</f>
        <v/>
      </c>
    </row>
    <row r="40">
      <c r="A40" s="2" t="inlineStr">
        <is>
          <t>EMP1040</t>
        </is>
      </c>
      <c r="B40" s="2" t="n">
        <v>40</v>
      </c>
      <c r="C40" s="2" t="inlineStr">
        <is>
          <t>F</t>
        </is>
      </c>
      <c r="D40" s="2" t="inlineStr">
        <is>
          <t>Customer Support</t>
        </is>
      </c>
      <c r="E40" s="2" t="inlineStr">
        <is>
          <t>Support Executive</t>
        </is>
      </c>
      <c r="F40" s="2" t="n">
        <v>12.9</v>
      </c>
      <c r="G40" s="3" t="n">
        <v>550000</v>
      </c>
      <c r="H40" s="2" t="n">
        <v>24</v>
      </c>
      <c r="I40" s="2" t="n">
        <v>3</v>
      </c>
      <c r="J40" s="2" t="inlineStr">
        <is>
          <t>No</t>
        </is>
      </c>
      <c r="K40" s="2" t="inlineStr">
        <is>
          <t>No</t>
        </is>
      </c>
      <c r="L40" s="3">
        <f>G40/12</f>
        <v/>
      </c>
      <c r="M40" s="2">
        <f>IF(F40&lt;=2,"0-2 yrs",IF(F40&lt;=5,"3-5 yrs",IF(F40&lt;=10,"6-10 yrs","10+ yrs")))</f>
        <v/>
      </c>
      <c r="N40" s="3">
        <f>MEDIANIFS($G$2:$G$201,$D$2:$D$201,D40)</f>
        <v/>
      </c>
      <c r="O40" s="2">
        <f>MIN(100,IF(F40&lt;=2,20,0)+IF(I40&lt;=2,25,0)+IF(G40&lt;N40,15,0)+IF(J40="Yes",20,0)+IF(H40&lt;5,10,0))</f>
        <v/>
      </c>
      <c r="P40" s="2">
        <f>IF(O40&gt;=70,"High",IF(O40&gt;=40,"Medium","Low"))</f>
        <v/>
      </c>
    </row>
    <row r="41">
      <c r="A41" s="2" t="inlineStr">
        <is>
          <t>EMP1041</t>
        </is>
      </c>
      <c r="B41" s="2" t="n">
        <v>21</v>
      </c>
      <c r="C41" s="2" t="inlineStr">
        <is>
          <t>F</t>
        </is>
      </c>
      <c r="D41" s="2" t="inlineStr">
        <is>
          <t>HR</t>
        </is>
      </c>
      <c r="E41" s="2" t="inlineStr">
        <is>
          <t>Recruiter</t>
        </is>
      </c>
      <c r="F41" s="2" t="n">
        <v>1</v>
      </c>
      <c r="G41" s="3" t="n">
        <v>590000</v>
      </c>
      <c r="H41" s="2" t="n">
        <v>11</v>
      </c>
      <c r="I41" s="2" t="n">
        <v>5</v>
      </c>
      <c r="J41" s="2" t="inlineStr">
        <is>
          <t>No</t>
        </is>
      </c>
      <c r="K41" s="2" t="inlineStr">
        <is>
          <t>No</t>
        </is>
      </c>
      <c r="L41" s="3">
        <f>G41/12</f>
        <v/>
      </c>
      <c r="M41" s="2">
        <f>IF(F41&lt;=2,"0-2 yrs",IF(F41&lt;=5,"3-5 yrs",IF(F41&lt;=10,"6-10 yrs","10+ yrs")))</f>
        <v/>
      </c>
      <c r="N41" s="3">
        <f>MEDIANIFS($G$2:$G$201,$D$2:$D$201,D41)</f>
        <v/>
      </c>
      <c r="O41" s="2">
        <f>MIN(100,IF(F41&lt;=2,20,0)+IF(I41&lt;=2,25,0)+IF(G41&lt;N41,15,0)+IF(J41="Yes",20,0)+IF(H41&lt;5,10,0))</f>
        <v/>
      </c>
      <c r="P41" s="2">
        <f>IF(O41&gt;=70,"High",IF(O41&gt;=40,"Medium","Low"))</f>
        <v/>
      </c>
    </row>
    <row r="42">
      <c r="A42" s="2" t="inlineStr">
        <is>
          <t>EMP1042</t>
        </is>
      </c>
      <c r="B42" s="2" t="n">
        <v>24</v>
      </c>
      <c r="C42" s="2" t="inlineStr">
        <is>
          <t>F</t>
        </is>
      </c>
      <c r="D42" s="2" t="inlineStr">
        <is>
          <t>Marketing</t>
        </is>
      </c>
      <c r="E42" s="2" t="inlineStr">
        <is>
          <t>Marketing Executive</t>
        </is>
      </c>
      <c r="F42" s="2" t="n">
        <v>6.8</v>
      </c>
      <c r="G42" s="3" t="n">
        <v>380000</v>
      </c>
      <c r="H42" s="2" t="n">
        <v>24</v>
      </c>
      <c r="I42" s="2" t="n">
        <v>2</v>
      </c>
      <c r="J42" s="2" t="inlineStr">
        <is>
          <t>No</t>
        </is>
      </c>
      <c r="K42" s="2" t="inlineStr">
        <is>
          <t>Yes</t>
        </is>
      </c>
      <c r="L42" s="3">
        <f>G42/12</f>
        <v/>
      </c>
      <c r="M42" s="2">
        <f>IF(F42&lt;=2,"0-2 yrs",IF(F42&lt;=5,"3-5 yrs",IF(F42&lt;=10,"6-10 yrs","10+ yrs")))</f>
        <v/>
      </c>
      <c r="N42" s="3">
        <f>MEDIANIFS($G$2:$G$201,$D$2:$D$201,D42)</f>
        <v/>
      </c>
      <c r="O42" s="2">
        <f>MIN(100,IF(F42&lt;=2,20,0)+IF(I42&lt;=2,25,0)+IF(G42&lt;N42,15,0)+IF(J42="Yes",20,0)+IF(H42&lt;5,10,0))</f>
        <v/>
      </c>
      <c r="P42" s="2">
        <f>IF(O42&gt;=70,"High",IF(O42&gt;=40,"Medium","Low"))</f>
        <v/>
      </c>
    </row>
    <row r="43">
      <c r="A43" s="2" t="inlineStr">
        <is>
          <t>EMP1043</t>
        </is>
      </c>
      <c r="B43" s="2" t="n">
        <v>34</v>
      </c>
      <c r="C43" s="2" t="inlineStr">
        <is>
          <t>F</t>
        </is>
      </c>
      <c r="D43" s="2" t="inlineStr">
        <is>
          <t>Sales</t>
        </is>
      </c>
      <c r="E43" s="2" t="inlineStr">
        <is>
          <t>Business Development Executive</t>
        </is>
      </c>
      <c r="F43" s="2" t="n">
        <v>6.7</v>
      </c>
      <c r="G43" s="3" t="n">
        <v>845000</v>
      </c>
      <c r="H43" s="2" t="n">
        <v>22</v>
      </c>
      <c r="I43" s="2" t="n">
        <v>4</v>
      </c>
      <c r="J43" s="2" t="inlineStr">
        <is>
          <t>No</t>
        </is>
      </c>
      <c r="K43" s="2" t="inlineStr">
        <is>
          <t>No</t>
        </is>
      </c>
      <c r="L43" s="3">
        <f>G43/12</f>
        <v/>
      </c>
      <c r="M43" s="2">
        <f>IF(F43&lt;=2,"0-2 yrs",IF(F43&lt;=5,"3-5 yrs",IF(F43&lt;=10,"6-10 yrs","10+ yrs")))</f>
        <v/>
      </c>
      <c r="N43" s="3">
        <f>MEDIANIFS($G$2:$G$201,$D$2:$D$201,D43)</f>
        <v/>
      </c>
      <c r="O43" s="2">
        <f>MIN(100,IF(F43&lt;=2,20,0)+IF(I43&lt;=2,25,0)+IF(G43&lt;N43,15,0)+IF(J43="Yes",20,0)+IF(H43&lt;5,10,0))</f>
        <v/>
      </c>
      <c r="P43" s="2">
        <f>IF(O43&gt;=70,"High",IF(O43&gt;=40,"Medium","Low"))</f>
        <v/>
      </c>
    </row>
    <row r="44">
      <c r="A44" s="2" t="inlineStr">
        <is>
          <t>EMP1044</t>
        </is>
      </c>
      <c r="B44" s="2" t="n">
        <v>21</v>
      </c>
      <c r="C44" s="2" t="inlineStr">
        <is>
          <t>F</t>
        </is>
      </c>
      <c r="D44" s="2" t="inlineStr">
        <is>
          <t>Finance</t>
        </is>
      </c>
      <c r="E44" s="2" t="inlineStr">
        <is>
          <t>Accountant</t>
        </is>
      </c>
      <c r="F44" s="2" t="n">
        <v>6.1</v>
      </c>
      <c r="G44" s="3" t="n">
        <v>665000</v>
      </c>
      <c r="H44" s="2" t="n">
        <v>29</v>
      </c>
      <c r="I44" s="2" t="n">
        <v>5</v>
      </c>
      <c r="J44" s="2" t="inlineStr">
        <is>
          <t>No</t>
        </is>
      </c>
      <c r="K44" s="2" t="inlineStr">
        <is>
          <t>No</t>
        </is>
      </c>
      <c r="L44" s="3">
        <f>G44/12</f>
        <v/>
      </c>
      <c r="M44" s="2">
        <f>IF(F44&lt;=2,"0-2 yrs",IF(F44&lt;=5,"3-5 yrs",IF(F44&lt;=10,"6-10 yrs","10+ yrs")))</f>
        <v/>
      </c>
      <c r="N44" s="3">
        <f>MEDIANIFS($G$2:$G$201,$D$2:$D$201,D44)</f>
        <v/>
      </c>
      <c r="O44" s="2">
        <f>MIN(100,IF(F44&lt;=2,20,0)+IF(I44&lt;=2,25,0)+IF(G44&lt;N44,15,0)+IF(J44="Yes",20,0)+IF(H44&lt;5,10,0))</f>
        <v/>
      </c>
      <c r="P44" s="2">
        <f>IF(O44&gt;=70,"High",IF(O44&gt;=40,"Medium","Low"))</f>
        <v/>
      </c>
    </row>
    <row r="45">
      <c r="A45" s="2" t="inlineStr">
        <is>
          <t>EMP1045</t>
        </is>
      </c>
      <c r="B45" s="2" t="n">
        <v>28</v>
      </c>
      <c r="C45" s="2" t="inlineStr">
        <is>
          <t>F</t>
        </is>
      </c>
      <c r="D45" s="2" t="inlineStr">
        <is>
          <t>IT</t>
        </is>
      </c>
      <c r="E45" s="2" t="inlineStr">
        <is>
          <t>Data Analyst</t>
        </is>
      </c>
      <c r="F45" s="2" t="n">
        <v>1.4</v>
      </c>
      <c r="G45" s="3" t="n">
        <v>425000</v>
      </c>
      <c r="H45" s="2" t="n">
        <v>26</v>
      </c>
      <c r="I45" s="2" t="n">
        <v>3</v>
      </c>
      <c r="J45" s="2" t="inlineStr">
        <is>
          <t>No</t>
        </is>
      </c>
      <c r="K45" s="2" t="inlineStr">
        <is>
          <t>No</t>
        </is>
      </c>
      <c r="L45" s="3">
        <f>G45/12</f>
        <v/>
      </c>
      <c r="M45" s="2">
        <f>IF(F45&lt;=2,"0-2 yrs",IF(F45&lt;=5,"3-5 yrs",IF(F45&lt;=10,"6-10 yrs","10+ yrs")))</f>
        <v/>
      </c>
      <c r="N45" s="3">
        <f>MEDIANIFS($G$2:$G$201,$D$2:$D$201,D45)</f>
        <v/>
      </c>
      <c r="O45" s="2">
        <f>MIN(100,IF(F45&lt;=2,20,0)+IF(I45&lt;=2,25,0)+IF(G45&lt;N45,15,0)+IF(J45="Yes",20,0)+IF(H45&lt;5,10,0))</f>
        <v/>
      </c>
      <c r="P45" s="2">
        <f>IF(O45&gt;=70,"High",IF(O45&gt;=40,"Medium","Low"))</f>
        <v/>
      </c>
    </row>
    <row r="46">
      <c r="A46" s="2" t="inlineStr">
        <is>
          <t>EMP1046</t>
        </is>
      </c>
      <c r="B46" s="2" t="n">
        <v>36</v>
      </c>
      <c r="C46" s="2" t="inlineStr">
        <is>
          <t>F</t>
        </is>
      </c>
      <c r="D46" s="2" t="inlineStr">
        <is>
          <t>IT</t>
        </is>
      </c>
      <c r="E46" s="2" t="inlineStr">
        <is>
          <t>IT Support</t>
        </is>
      </c>
      <c r="F46" s="2" t="n">
        <v>8.699999999999999</v>
      </c>
      <c r="G46" s="3" t="n">
        <v>815000</v>
      </c>
      <c r="H46" s="2" t="n">
        <v>23</v>
      </c>
      <c r="I46" s="2" t="n">
        <v>5</v>
      </c>
      <c r="J46" s="2" t="inlineStr">
        <is>
          <t>No</t>
        </is>
      </c>
      <c r="K46" s="2" t="inlineStr">
        <is>
          <t>No</t>
        </is>
      </c>
      <c r="L46" s="3">
        <f>G46/12</f>
        <v/>
      </c>
      <c r="M46" s="2">
        <f>IF(F46&lt;=2,"0-2 yrs",IF(F46&lt;=5,"3-5 yrs",IF(F46&lt;=10,"6-10 yrs","10+ yrs")))</f>
        <v/>
      </c>
      <c r="N46" s="3">
        <f>MEDIANIFS($G$2:$G$201,$D$2:$D$201,D46)</f>
        <v/>
      </c>
      <c r="O46" s="2">
        <f>MIN(100,IF(F46&lt;=2,20,0)+IF(I46&lt;=2,25,0)+IF(G46&lt;N46,15,0)+IF(J46="Yes",20,0)+IF(H46&lt;5,10,0))</f>
        <v/>
      </c>
      <c r="P46" s="2">
        <f>IF(O46&gt;=70,"High",IF(O46&gt;=40,"Medium","Low"))</f>
        <v/>
      </c>
    </row>
    <row r="47">
      <c r="A47" s="2" t="inlineStr">
        <is>
          <t>EMP1047</t>
        </is>
      </c>
      <c r="B47" s="2" t="n">
        <v>40</v>
      </c>
      <c r="C47" s="2" t="inlineStr">
        <is>
          <t>F</t>
        </is>
      </c>
      <c r="D47" s="2" t="inlineStr">
        <is>
          <t>Operations</t>
        </is>
      </c>
      <c r="E47" s="2" t="inlineStr">
        <is>
          <t>Operations Executive</t>
        </is>
      </c>
      <c r="F47" s="2" t="n">
        <v>3.5</v>
      </c>
      <c r="G47" s="3" t="n">
        <v>665000</v>
      </c>
      <c r="H47" s="2" t="n">
        <v>27</v>
      </c>
      <c r="I47" s="2" t="n">
        <v>5</v>
      </c>
      <c r="J47" s="2" t="inlineStr">
        <is>
          <t>Yes</t>
        </is>
      </c>
      <c r="K47" s="2" t="inlineStr">
        <is>
          <t>No</t>
        </is>
      </c>
      <c r="L47" s="3">
        <f>G47/12</f>
        <v/>
      </c>
      <c r="M47" s="2">
        <f>IF(F47&lt;=2,"0-2 yrs",IF(F47&lt;=5,"3-5 yrs",IF(F47&lt;=10,"6-10 yrs","10+ yrs")))</f>
        <v/>
      </c>
      <c r="N47" s="3">
        <f>MEDIANIFS($G$2:$G$201,$D$2:$D$201,D47)</f>
        <v/>
      </c>
      <c r="O47" s="2">
        <f>MIN(100,IF(F47&lt;=2,20,0)+IF(I47&lt;=2,25,0)+IF(G47&lt;N47,15,0)+IF(J47="Yes",20,0)+IF(H47&lt;5,10,0))</f>
        <v/>
      </c>
      <c r="P47" s="2">
        <f>IF(O47&gt;=70,"High",IF(O47&gt;=40,"Medium","Low"))</f>
        <v/>
      </c>
    </row>
    <row r="48">
      <c r="A48" s="2" t="inlineStr">
        <is>
          <t>EMP1048</t>
        </is>
      </c>
      <c r="B48" s="2" t="n">
        <v>39</v>
      </c>
      <c r="C48" s="2" t="inlineStr">
        <is>
          <t>M</t>
        </is>
      </c>
      <c r="D48" s="2" t="inlineStr">
        <is>
          <t>Customer Support</t>
        </is>
      </c>
      <c r="E48" s="2" t="inlineStr">
        <is>
          <t>Support Executive</t>
        </is>
      </c>
      <c r="F48" s="2" t="n">
        <v>7.9</v>
      </c>
      <c r="G48" s="3" t="n">
        <v>860000</v>
      </c>
      <c r="H48" s="2" t="n">
        <v>9</v>
      </c>
      <c r="I48" s="2" t="n">
        <v>4</v>
      </c>
      <c r="J48" s="2" t="inlineStr">
        <is>
          <t>No</t>
        </is>
      </c>
      <c r="K48" s="2" t="inlineStr">
        <is>
          <t>No</t>
        </is>
      </c>
      <c r="L48" s="3">
        <f>G48/12</f>
        <v/>
      </c>
      <c r="M48" s="2">
        <f>IF(F48&lt;=2,"0-2 yrs",IF(F48&lt;=5,"3-5 yrs",IF(F48&lt;=10,"6-10 yrs","10+ yrs")))</f>
        <v/>
      </c>
      <c r="N48" s="3">
        <f>MEDIANIFS($G$2:$G$201,$D$2:$D$201,D48)</f>
        <v/>
      </c>
      <c r="O48" s="2">
        <f>MIN(100,IF(F48&lt;=2,20,0)+IF(I48&lt;=2,25,0)+IF(G48&lt;N48,15,0)+IF(J48="Yes",20,0)+IF(H48&lt;5,10,0))</f>
        <v/>
      </c>
      <c r="P48" s="2">
        <f>IF(O48&gt;=70,"High",IF(O48&gt;=40,"Medium","Low"))</f>
        <v/>
      </c>
    </row>
    <row r="49">
      <c r="A49" s="2" t="inlineStr">
        <is>
          <t>EMP1049</t>
        </is>
      </c>
      <c r="B49" s="2" t="n">
        <v>40</v>
      </c>
      <c r="C49" s="2" t="inlineStr">
        <is>
          <t>M</t>
        </is>
      </c>
      <c r="D49" s="2" t="inlineStr">
        <is>
          <t>HR</t>
        </is>
      </c>
      <c r="E49" s="2" t="inlineStr">
        <is>
          <t>HR Executive</t>
        </is>
      </c>
      <c r="F49" s="2" t="n">
        <v>6</v>
      </c>
      <c r="G49" s="3" t="n">
        <v>465000</v>
      </c>
      <c r="H49" s="2" t="n">
        <v>12</v>
      </c>
      <c r="I49" s="2" t="n">
        <v>3</v>
      </c>
      <c r="J49" s="2" t="inlineStr">
        <is>
          <t>Yes</t>
        </is>
      </c>
      <c r="K49" s="2" t="inlineStr">
        <is>
          <t>No</t>
        </is>
      </c>
      <c r="L49" s="3">
        <f>G49/12</f>
        <v/>
      </c>
      <c r="M49" s="2">
        <f>IF(F49&lt;=2,"0-2 yrs",IF(F49&lt;=5,"3-5 yrs",IF(F49&lt;=10,"6-10 yrs","10+ yrs")))</f>
        <v/>
      </c>
      <c r="N49" s="3">
        <f>MEDIANIFS($G$2:$G$201,$D$2:$D$201,D49)</f>
        <v/>
      </c>
      <c r="O49" s="2">
        <f>MIN(100,IF(F49&lt;=2,20,0)+IF(I49&lt;=2,25,0)+IF(G49&lt;N49,15,0)+IF(J49="Yes",20,0)+IF(H49&lt;5,10,0))</f>
        <v/>
      </c>
      <c r="P49" s="2">
        <f>IF(O49&gt;=70,"High",IF(O49&gt;=40,"Medium","Low"))</f>
        <v/>
      </c>
    </row>
    <row r="50">
      <c r="A50" s="2" t="inlineStr">
        <is>
          <t>EMP1050</t>
        </is>
      </c>
      <c r="B50" s="2" t="n">
        <v>21</v>
      </c>
      <c r="C50" s="2" t="inlineStr">
        <is>
          <t>F</t>
        </is>
      </c>
      <c r="D50" s="2" t="inlineStr">
        <is>
          <t>HR</t>
        </is>
      </c>
      <c r="E50" s="2" t="inlineStr">
        <is>
          <t>HR Executive</t>
        </is>
      </c>
      <c r="F50" s="2" t="n">
        <v>14.6</v>
      </c>
      <c r="G50" s="3" t="n">
        <v>725000</v>
      </c>
      <c r="H50" s="2" t="n">
        <v>16</v>
      </c>
      <c r="I50" s="2" t="n">
        <v>3</v>
      </c>
      <c r="J50" s="2" t="inlineStr">
        <is>
          <t>No</t>
        </is>
      </c>
      <c r="K50" s="2" t="inlineStr">
        <is>
          <t>No</t>
        </is>
      </c>
      <c r="L50" s="3">
        <f>G50/12</f>
        <v/>
      </c>
      <c r="M50" s="2">
        <f>IF(F50&lt;=2,"0-2 yrs",IF(F50&lt;=5,"3-5 yrs",IF(F50&lt;=10,"6-10 yrs","10+ yrs")))</f>
        <v/>
      </c>
      <c r="N50" s="3">
        <f>MEDIANIFS($G$2:$G$201,$D$2:$D$201,D50)</f>
        <v/>
      </c>
      <c r="O50" s="2">
        <f>MIN(100,IF(F50&lt;=2,20,0)+IF(I50&lt;=2,25,0)+IF(G50&lt;N50,15,0)+IF(J50="Yes",20,0)+IF(H50&lt;5,10,0))</f>
        <v/>
      </c>
      <c r="P50" s="2">
        <f>IF(O50&gt;=70,"High",IF(O50&gt;=40,"Medium","Low"))</f>
        <v/>
      </c>
    </row>
    <row r="51">
      <c r="A51" s="2" t="inlineStr">
        <is>
          <t>EMP1051</t>
        </is>
      </c>
      <c r="B51" s="2" t="n">
        <v>34</v>
      </c>
      <c r="C51" s="2" t="inlineStr">
        <is>
          <t>M</t>
        </is>
      </c>
      <c r="D51" s="2" t="inlineStr">
        <is>
          <t>Operations</t>
        </is>
      </c>
      <c r="E51" s="2" t="inlineStr">
        <is>
          <t>Operations Executive</t>
        </is>
      </c>
      <c r="F51" s="2" t="n">
        <v>8.4</v>
      </c>
      <c r="G51" s="3" t="n">
        <v>625000</v>
      </c>
      <c r="H51" s="2" t="n">
        <v>33</v>
      </c>
      <c r="I51" s="2" t="n">
        <v>5</v>
      </c>
      <c r="J51" s="2" t="inlineStr">
        <is>
          <t>No</t>
        </is>
      </c>
      <c r="K51" s="2" t="inlineStr">
        <is>
          <t>No</t>
        </is>
      </c>
      <c r="L51" s="3">
        <f>G51/12</f>
        <v/>
      </c>
      <c r="M51" s="2">
        <f>IF(F51&lt;=2,"0-2 yrs",IF(F51&lt;=5,"3-5 yrs",IF(F51&lt;=10,"6-10 yrs","10+ yrs")))</f>
        <v/>
      </c>
      <c r="N51" s="3">
        <f>MEDIANIFS($G$2:$G$201,$D$2:$D$201,D51)</f>
        <v/>
      </c>
      <c r="O51" s="2">
        <f>MIN(100,IF(F51&lt;=2,20,0)+IF(I51&lt;=2,25,0)+IF(G51&lt;N51,15,0)+IF(J51="Yes",20,0)+IF(H51&lt;5,10,0))</f>
        <v/>
      </c>
      <c r="P51" s="2">
        <f>IF(O51&gt;=70,"High",IF(O51&gt;=40,"Medium","Low"))</f>
        <v/>
      </c>
    </row>
    <row r="52">
      <c r="A52" s="2" t="inlineStr">
        <is>
          <t>EMP1052</t>
        </is>
      </c>
      <c r="B52" s="2" t="n">
        <v>26</v>
      </c>
      <c r="C52" s="2" t="inlineStr">
        <is>
          <t>M</t>
        </is>
      </c>
      <c r="D52" s="2" t="inlineStr">
        <is>
          <t>IT</t>
        </is>
      </c>
      <c r="E52" s="2" t="inlineStr">
        <is>
          <t>IT Support</t>
        </is>
      </c>
      <c r="F52" s="2" t="n">
        <v>12.5</v>
      </c>
      <c r="G52" s="3" t="n">
        <v>670000</v>
      </c>
      <c r="H52" s="2" t="n">
        <v>16</v>
      </c>
      <c r="I52" s="2" t="n">
        <v>4</v>
      </c>
      <c r="J52" s="2" t="inlineStr">
        <is>
          <t>No</t>
        </is>
      </c>
      <c r="K52" s="2" t="inlineStr">
        <is>
          <t>No</t>
        </is>
      </c>
      <c r="L52" s="3">
        <f>G52/12</f>
        <v/>
      </c>
      <c r="M52" s="2">
        <f>IF(F52&lt;=2,"0-2 yrs",IF(F52&lt;=5,"3-5 yrs",IF(F52&lt;=10,"6-10 yrs","10+ yrs")))</f>
        <v/>
      </c>
      <c r="N52" s="3">
        <f>MEDIANIFS($G$2:$G$201,$D$2:$D$201,D52)</f>
        <v/>
      </c>
      <c r="O52" s="2">
        <f>MIN(100,IF(F52&lt;=2,20,0)+IF(I52&lt;=2,25,0)+IF(G52&lt;N52,15,0)+IF(J52="Yes",20,0)+IF(H52&lt;5,10,0))</f>
        <v/>
      </c>
      <c r="P52" s="2">
        <f>IF(O52&gt;=70,"High",IF(O52&gt;=40,"Medium","Low"))</f>
        <v/>
      </c>
    </row>
    <row r="53">
      <c r="A53" s="2" t="inlineStr">
        <is>
          <t>EMP1053</t>
        </is>
      </c>
      <c r="B53" s="2" t="n">
        <v>30</v>
      </c>
      <c r="C53" s="2" t="inlineStr">
        <is>
          <t>F</t>
        </is>
      </c>
      <c r="D53" s="2" t="inlineStr">
        <is>
          <t>Customer Support</t>
        </is>
      </c>
      <c r="E53" s="2" t="inlineStr">
        <is>
          <t>Support Executive</t>
        </is>
      </c>
      <c r="F53" s="2" t="n">
        <v>8.4</v>
      </c>
      <c r="G53" s="3" t="n">
        <v>505000</v>
      </c>
      <c r="H53" s="2" t="n">
        <v>31</v>
      </c>
      <c r="I53" s="2" t="n">
        <v>2</v>
      </c>
      <c r="J53" s="2" t="inlineStr">
        <is>
          <t>Yes</t>
        </is>
      </c>
      <c r="K53" s="2" t="inlineStr">
        <is>
          <t>Yes</t>
        </is>
      </c>
      <c r="L53" s="3">
        <f>G53/12</f>
        <v/>
      </c>
      <c r="M53" s="2">
        <f>IF(F53&lt;=2,"0-2 yrs",IF(F53&lt;=5,"3-5 yrs",IF(F53&lt;=10,"6-10 yrs","10+ yrs")))</f>
        <v/>
      </c>
      <c r="N53" s="3">
        <f>MEDIANIFS($G$2:$G$201,$D$2:$D$201,D53)</f>
        <v/>
      </c>
      <c r="O53" s="2">
        <f>MIN(100,IF(F53&lt;=2,20,0)+IF(I53&lt;=2,25,0)+IF(G53&lt;N53,15,0)+IF(J53="Yes",20,0)+IF(H53&lt;5,10,0))</f>
        <v/>
      </c>
      <c r="P53" s="2">
        <f>IF(O53&gt;=70,"High",IF(O53&gt;=40,"Medium","Low"))</f>
        <v/>
      </c>
    </row>
    <row r="54">
      <c r="A54" s="2" t="inlineStr">
        <is>
          <t>EMP1054</t>
        </is>
      </c>
      <c r="B54" s="2" t="n">
        <v>33</v>
      </c>
      <c r="C54" s="2" t="inlineStr">
        <is>
          <t>M</t>
        </is>
      </c>
      <c r="D54" s="2" t="inlineStr">
        <is>
          <t>IT</t>
        </is>
      </c>
      <c r="E54" s="2" t="inlineStr">
        <is>
          <t>IT Support</t>
        </is>
      </c>
      <c r="F54" s="2" t="n">
        <v>3.3</v>
      </c>
      <c r="G54" s="3" t="n">
        <v>755000</v>
      </c>
      <c r="H54" s="2" t="n">
        <v>21</v>
      </c>
      <c r="I54" s="2" t="n">
        <v>3</v>
      </c>
      <c r="J54" s="2" t="inlineStr">
        <is>
          <t>No</t>
        </is>
      </c>
      <c r="K54" s="2" t="inlineStr">
        <is>
          <t>No</t>
        </is>
      </c>
      <c r="L54" s="3">
        <f>G54/12</f>
        <v/>
      </c>
      <c r="M54" s="2">
        <f>IF(F54&lt;=2,"0-2 yrs",IF(F54&lt;=5,"3-5 yrs",IF(F54&lt;=10,"6-10 yrs","10+ yrs")))</f>
        <v/>
      </c>
      <c r="N54" s="3">
        <f>MEDIANIFS($G$2:$G$201,$D$2:$D$201,D54)</f>
        <v/>
      </c>
      <c r="O54" s="2">
        <f>MIN(100,IF(F54&lt;=2,20,0)+IF(I54&lt;=2,25,0)+IF(G54&lt;N54,15,0)+IF(J54="Yes",20,0)+IF(H54&lt;5,10,0))</f>
        <v/>
      </c>
      <c r="P54" s="2">
        <f>IF(O54&gt;=70,"High",IF(O54&gt;=40,"Medium","Low"))</f>
        <v/>
      </c>
    </row>
    <row r="55">
      <c r="A55" s="2" t="inlineStr">
        <is>
          <t>EMP1055</t>
        </is>
      </c>
      <c r="B55" s="2" t="n">
        <v>26</v>
      </c>
      <c r="C55" s="2" t="inlineStr">
        <is>
          <t>F</t>
        </is>
      </c>
      <c r="D55" s="2" t="inlineStr">
        <is>
          <t>Operations</t>
        </is>
      </c>
      <c r="E55" s="2" t="inlineStr">
        <is>
          <t>Process Analyst</t>
        </is>
      </c>
      <c r="F55" s="2" t="n">
        <v>8.4</v>
      </c>
      <c r="G55" s="3" t="n">
        <v>740000</v>
      </c>
      <c r="H55" s="2" t="n">
        <v>31</v>
      </c>
      <c r="I55" s="2" t="n">
        <v>3</v>
      </c>
      <c r="J55" s="2" t="inlineStr">
        <is>
          <t>No</t>
        </is>
      </c>
      <c r="K55" s="2" t="inlineStr">
        <is>
          <t>No</t>
        </is>
      </c>
      <c r="L55" s="3">
        <f>G55/12</f>
        <v/>
      </c>
      <c r="M55" s="2">
        <f>IF(F55&lt;=2,"0-2 yrs",IF(F55&lt;=5,"3-5 yrs",IF(F55&lt;=10,"6-10 yrs","10+ yrs")))</f>
        <v/>
      </c>
      <c r="N55" s="3">
        <f>MEDIANIFS($G$2:$G$201,$D$2:$D$201,D55)</f>
        <v/>
      </c>
      <c r="O55" s="2">
        <f>MIN(100,IF(F55&lt;=2,20,0)+IF(I55&lt;=2,25,0)+IF(G55&lt;N55,15,0)+IF(J55="Yes",20,0)+IF(H55&lt;5,10,0))</f>
        <v/>
      </c>
      <c r="P55" s="2">
        <f>IF(O55&gt;=70,"High",IF(O55&gt;=40,"Medium","Low"))</f>
        <v/>
      </c>
    </row>
    <row r="56">
      <c r="A56" s="2" t="inlineStr">
        <is>
          <t>EMP1056</t>
        </is>
      </c>
      <c r="B56" s="2" t="n">
        <v>32</v>
      </c>
      <c r="C56" s="2" t="inlineStr">
        <is>
          <t>F</t>
        </is>
      </c>
      <c r="D56" s="2" t="inlineStr">
        <is>
          <t>Marketing</t>
        </is>
      </c>
      <c r="E56" s="2" t="inlineStr">
        <is>
          <t>Digital Marketing Analyst</t>
        </is>
      </c>
      <c r="F56" s="2" t="n">
        <v>12.1</v>
      </c>
      <c r="G56" s="3" t="n">
        <v>825000</v>
      </c>
      <c r="H56" s="2" t="n">
        <v>0</v>
      </c>
      <c r="I56" s="2" t="n">
        <v>3</v>
      </c>
      <c r="J56" s="2" t="inlineStr">
        <is>
          <t>No</t>
        </is>
      </c>
      <c r="K56" s="2" t="inlineStr">
        <is>
          <t>No</t>
        </is>
      </c>
      <c r="L56" s="3">
        <f>G56/12</f>
        <v/>
      </c>
      <c r="M56" s="2">
        <f>IF(F56&lt;=2,"0-2 yrs",IF(F56&lt;=5,"3-5 yrs",IF(F56&lt;=10,"6-10 yrs","10+ yrs")))</f>
        <v/>
      </c>
      <c r="N56" s="3">
        <f>MEDIANIFS($G$2:$G$201,$D$2:$D$201,D56)</f>
        <v/>
      </c>
      <c r="O56" s="2">
        <f>MIN(100,IF(F56&lt;=2,20,0)+IF(I56&lt;=2,25,0)+IF(G56&lt;N56,15,0)+IF(J56="Yes",20,0)+IF(H56&lt;5,10,0))</f>
        <v/>
      </c>
      <c r="P56" s="2">
        <f>IF(O56&gt;=70,"High",IF(O56&gt;=40,"Medium","Low"))</f>
        <v/>
      </c>
    </row>
    <row r="57">
      <c r="A57" s="2" t="inlineStr">
        <is>
          <t>EMP1057</t>
        </is>
      </c>
      <c r="B57" s="2" t="n">
        <v>39</v>
      </c>
      <c r="C57" s="2" t="inlineStr">
        <is>
          <t>M</t>
        </is>
      </c>
      <c r="D57" s="2" t="inlineStr">
        <is>
          <t>Sales</t>
        </is>
      </c>
      <c r="E57" s="2" t="inlineStr">
        <is>
          <t>Business Development Executive</t>
        </is>
      </c>
      <c r="F57" s="2" t="n">
        <v>11.8</v>
      </c>
      <c r="G57" s="3" t="n">
        <v>1065000</v>
      </c>
      <c r="H57" s="2" t="n">
        <v>20</v>
      </c>
      <c r="I57" s="2" t="n">
        <v>4</v>
      </c>
      <c r="J57" s="2" t="inlineStr">
        <is>
          <t>No</t>
        </is>
      </c>
      <c r="K57" s="2" t="inlineStr">
        <is>
          <t>No</t>
        </is>
      </c>
      <c r="L57" s="3">
        <f>G57/12</f>
        <v/>
      </c>
      <c r="M57" s="2">
        <f>IF(F57&lt;=2,"0-2 yrs",IF(F57&lt;=5,"3-5 yrs",IF(F57&lt;=10,"6-10 yrs","10+ yrs")))</f>
        <v/>
      </c>
      <c r="N57" s="3">
        <f>MEDIANIFS($G$2:$G$201,$D$2:$D$201,D57)</f>
        <v/>
      </c>
      <c r="O57" s="2">
        <f>MIN(100,IF(F57&lt;=2,20,0)+IF(I57&lt;=2,25,0)+IF(G57&lt;N57,15,0)+IF(J57="Yes",20,0)+IF(H57&lt;5,10,0))</f>
        <v/>
      </c>
      <c r="P57" s="2">
        <f>IF(O57&gt;=70,"High",IF(O57&gt;=40,"Medium","Low"))</f>
        <v/>
      </c>
    </row>
    <row r="58">
      <c r="A58" s="2" t="inlineStr">
        <is>
          <t>EMP1058</t>
        </is>
      </c>
      <c r="B58" s="2" t="n">
        <v>31</v>
      </c>
      <c r="C58" s="2" t="inlineStr">
        <is>
          <t>M</t>
        </is>
      </c>
      <c r="D58" s="2" t="inlineStr">
        <is>
          <t>Operations</t>
        </is>
      </c>
      <c r="E58" s="2" t="inlineStr">
        <is>
          <t>Process Analyst</t>
        </is>
      </c>
      <c r="F58" s="2" t="n">
        <v>1.2</v>
      </c>
      <c r="G58" s="3" t="n">
        <v>540000</v>
      </c>
      <c r="H58" s="2" t="n">
        <v>4</v>
      </c>
      <c r="I58" s="2" t="n">
        <v>1</v>
      </c>
      <c r="J58" s="2" t="inlineStr">
        <is>
          <t>Yes</t>
        </is>
      </c>
      <c r="K58" s="2" t="inlineStr">
        <is>
          <t>Yes</t>
        </is>
      </c>
      <c r="L58" s="3">
        <f>G58/12</f>
        <v/>
      </c>
      <c r="M58" s="2">
        <f>IF(F58&lt;=2,"0-2 yrs",IF(F58&lt;=5,"3-5 yrs",IF(F58&lt;=10,"6-10 yrs","10+ yrs")))</f>
        <v/>
      </c>
      <c r="N58" s="3">
        <f>MEDIANIFS($G$2:$G$201,$D$2:$D$201,D58)</f>
        <v/>
      </c>
      <c r="O58" s="2">
        <f>MIN(100,IF(F58&lt;=2,20,0)+IF(I58&lt;=2,25,0)+IF(G58&lt;N58,15,0)+IF(J58="Yes",20,0)+IF(H58&lt;5,10,0))</f>
        <v/>
      </c>
      <c r="P58" s="2">
        <f>IF(O58&gt;=70,"High",IF(O58&gt;=40,"Medium","Low"))</f>
        <v/>
      </c>
    </row>
    <row r="59">
      <c r="A59" s="2" t="inlineStr">
        <is>
          <t>EMP1059</t>
        </is>
      </c>
      <c r="B59" s="2" t="n">
        <v>35</v>
      </c>
      <c r="C59" s="2" t="inlineStr">
        <is>
          <t>F</t>
        </is>
      </c>
      <c r="D59" s="2" t="inlineStr">
        <is>
          <t>Finance</t>
        </is>
      </c>
      <c r="E59" s="2" t="inlineStr">
        <is>
          <t>Accountant</t>
        </is>
      </c>
      <c r="F59" s="2" t="n">
        <v>2.3</v>
      </c>
      <c r="G59" s="3" t="n">
        <v>635000</v>
      </c>
      <c r="H59" s="2" t="n">
        <v>27</v>
      </c>
      <c r="I59" s="2" t="n">
        <v>4</v>
      </c>
      <c r="J59" s="2" t="inlineStr">
        <is>
          <t>Yes</t>
        </is>
      </c>
      <c r="K59" s="2" t="inlineStr">
        <is>
          <t>No</t>
        </is>
      </c>
      <c r="L59" s="3">
        <f>G59/12</f>
        <v/>
      </c>
      <c r="M59" s="2">
        <f>IF(F59&lt;=2,"0-2 yrs",IF(F59&lt;=5,"3-5 yrs",IF(F59&lt;=10,"6-10 yrs","10+ yrs")))</f>
        <v/>
      </c>
      <c r="N59" s="3">
        <f>MEDIANIFS($G$2:$G$201,$D$2:$D$201,D59)</f>
        <v/>
      </c>
      <c r="O59" s="2">
        <f>MIN(100,IF(F59&lt;=2,20,0)+IF(I59&lt;=2,25,0)+IF(G59&lt;N59,15,0)+IF(J59="Yes",20,0)+IF(H59&lt;5,10,0))</f>
        <v/>
      </c>
      <c r="P59" s="2">
        <f>IF(O59&gt;=70,"High",IF(O59&gt;=40,"Medium","Low"))</f>
        <v/>
      </c>
    </row>
    <row r="60">
      <c r="A60" s="2" t="inlineStr">
        <is>
          <t>EMP1060</t>
        </is>
      </c>
      <c r="B60" s="2" t="n">
        <v>26</v>
      </c>
      <c r="C60" s="2" t="inlineStr">
        <is>
          <t>M</t>
        </is>
      </c>
      <c r="D60" s="2" t="inlineStr">
        <is>
          <t>HR</t>
        </is>
      </c>
      <c r="E60" s="2" t="inlineStr">
        <is>
          <t>HR Executive</t>
        </is>
      </c>
      <c r="F60" s="2" t="n">
        <v>2.7</v>
      </c>
      <c r="G60" s="3" t="n">
        <v>525000</v>
      </c>
      <c r="H60" s="2" t="n">
        <v>0</v>
      </c>
      <c r="I60" s="2" t="n">
        <v>4</v>
      </c>
      <c r="J60" s="2" t="inlineStr">
        <is>
          <t>Yes</t>
        </is>
      </c>
      <c r="K60" s="2" t="inlineStr">
        <is>
          <t>No</t>
        </is>
      </c>
      <c r="L60" s="3">
        <f>G60/12</f>
        <v/>
      </c>
      <c r="M60" s="2">
        <f>IF(F60&lt;=2,"0-2 yrs",IF(F60&lt;=5,"3-5 yrs",IF(F60&lt;=10,"6-10 yrs","10+ yrs")))</f>
        <v/>
      </c>
      <c r="N60" s="3">
        <f>MEDIANIFS($G$2:$G$201,$D$2:$D$201,D60)</f>
        <v/>
      </c>
      <c r="O60" s="2">
        <f>MIN(100,IF(F60&lt;=2,20,0)+IF(I60&lt;=2,25,0)+IF(G60&lt;N60,15,0)+IF(J60="Yes",20,0)+IF(H60&lt;5,10,0))</f>
        <v/>
      </c>
      <c r="P60" s="2">
        <f>IF(O60&gt;=70,"High",IF(O60&gt;=40,"Medium","Low"))</f>
        <v/>
      </c>
    </row>
    <row r="61">
      <c r="A61" s="2" t="inlineStr">
        <is>
          <t>EMP1061</t>
        </is>
      </c>
      <c r="B61" s="2" t="n">
        <v>34</v>
      </c>
      <c r="C61" s="2" t="inlineStr">
        <is>
          <t>M</t>
        </is>
      </c>
      <c r="D61" s="2" t="inlineStr">
        <is>
          <t>IT</t>
        </is>
      </c>
      <c r="E61" s="2" t="inlineStr">
        <is>
          <t>Data Analyst</t>
        </is>
      </c>
      <c r="F61" s="2" t="n">
        <v>1.6</v>
      </c>
      <c r="G61" s="3" t="n">
        <v>835000</v>
      </c>
      <c r="H61" s="2" t="n">
        <v>11</v>
      </c>
      <c r="I61" s="2" t="n">
        <v>4</v>
      </c>
      <c r="J61" s="2" t="inlineStr">
        <is>
          <t>Yes</t>
        </is>
      </c>
      <c r="K61" s="2" t="inlineStr">
        <is>
          <t>Yes</t>
        </is>
      </c>
      <c r="L61" s="3">
        <f>G61/12</f>
        <v/>
      </c>
      <c r="M61" s="2">
        <f>IF(F61&lt;=2,"0-2 yrs",IF(F61&lt;=5,"3-5 yrs",IF(F61&lt;=10,"6-10 yrs","10+ yrs")))</f>
        <v/>
      </c>
      <c r="N61" s="3">
        <f>MEDIANIFS($G$2:$G$201,$D$2:$D$201,D61)</f>
        <v/>
      </c>
      <c r="O61" s="2">
        <f>MIN(100,IF(F61&lt;=2,20,0)+IF(I61&lt;=2,25,0)+IF(G61&lt;N61,15,0)+IF(J61="Yes",20,0)+IF(H61&lt;5,10,0))</f>
        <v/>
      </c>
      <c r="P61" s="2">
        <f>IF(O61&gt;=70,"High",IF(O61&gt;=40,"Medium","Low"))</f>
        <v/>
      </c>
    </row>
    <row r="62">
      <c r="A62" s="2" t="inlineStr">
        <is>
          <t>EMP1062</t>
        </is>
      </c>
      <c r="B62" s="2" t="n">
        <v>21</v>
      </c>
      <c r="C62" s="2" t="inlineStr">
        <is>
          <t>M</t>
        </is>
      </c>
      <c r="D62" s="2" t="inlineStr">
        <is>
          <t>IT</t>
        </is>
      </c>
      <c r="E62" s="2" t="inlineStr">
        <is>
          <t>Software Engineer</t>
        </is>
      </c>
      <c r="F62" s="2" t="n">
        <v>7.4</v>
      </c>
      <c r="G62" s="3" t="n">
        <v>950000</v>
      </c>
      <c r="H62" s="2" t="n">
        <v>22</v>
      </c>
      <c r="I62" s="2" t="n">
        <v>4</v>
      </c>
      <c r="J62" s="2" t="inlineStr">
        <is>
          <t>No</t>
        </is>
      </c>
      <c r="K62" s="2" t="inlineStr">
        <is>
          <t>Yes</t>
        </is>
      </c>
      <c r="L62" s="3">
        <f>G62/12</f>
        <v/>
      </c>
      <c r="M62" s="2">
        <f>IF(F62&lt;=2,"0-2 yrs",IF(F62&lt;=5,"3-5 yrs",IF(F62&lt;=10,"6-10 yrs","10+ yrs")))</f>
        <v/>
      </c>
      <c r="N62" s="3">
        <f>MEDIANIFS($G$2:$G$201,$D$2:$D$201,D62)</f>
        <v/>
      </c>
      <c r="O62" s="2">
        <f>MIN(100,IF(F62&lt;=2,20,0)+IF(I62&lt;=2,25,0)+IF(G62&lt;N62,15,0)+IF(J62="Yes",20,0)+IF(H62&lt;5,10,0))</f>
        <v/>
      </c>
      <c r="P62" s="2">
        <f>IF(O62&gt;=70,"High",IF(O62&gt;=40,"Medium","Low"))</f>
        <v/>
      </c>
    </row>
    <row r="63">
      <c r="A63" s="2" t="inlineStr">
        <is>
          <t>EMP1063</t>
        </is>
      </c>
      <c r="B63" s="2" t="n">
        <v>26</v>
      </c>
      <c r="C63" s="2" t="inlineStr">
        <is>
          <t>M</t>
        </is>
      </c>
      <c r="D63" s="2" t="inlineStr">
        <is>
          <t>Operations</t>
        </is>
      </c>
      <c r="E63" s="2" t="inlineStr">
        <is>
          <t>Operations Executive</t>
        </is>
      </c>
      <c r="F63" s="2" t="n">
        <v>5.4</v>
      </c>
      <c r="G63" s="3" t="n">
        <v>480000</v>
      </c>
      <c r="H63" s="2" t="n">
        <v>23</v>
      </c>
      <c r="I63" s="2" t="n">
        <v>3</v>
      </c>
      <c r="J63" s="2" t="inlineStr">
        <is>
          <t>No</t>
        </is>
      </c>
      <c r="K63" s="2" t="inlineStr">
        <is>
          <t>No</t>
        </is>
      </c>
      <c r="L63" s="3">
        <f>G63/12</f>
        <v/>
      </c>
      <c r="M63" s="2">
        <f>IF(F63&lt;=2,"0-2 yrs",IF(F63&lt;=5,"3-5 yrs",IF(F63&lt;=10,"6-10 yrs","10+ yrs")))</f>
        <v/>
      </c>
      <c r="N63" s="3">
        <f>MEDIANIFS($G$2:$G$201,$D$2:$D$201,D63)</f>
        <v/>
      </c>
      <c r="O63" s="2">
        <f>MIN(100,IF(F63&lt;=2,20,0)+IF(I63&lt;=2,25,0)+IF(G63&lt;N63,15,0)+IF(J63="Yes",20,0)+IF(H63&lt;5,10,0))</f>
        <v/>
      </c>
      <c r="P63" s="2">
        <f>IF(O63&gt;=70,"High",IF(O63&gt;=40,"Medium","Low"))</f>
        <v/>
      </c>
    </row>
    <row r="64">
      <c r="A64" s="2" t="inlineStr">
        <is>
          <t>EMP1064</t>
        </is>
      </c>
      <c r="B64" s="2" t="n">
        <v>28</v>
      </c>
      <c r="C64" s="2" t="inlineStr">
        <is>
          <t>M</t>
        </is>
      </c>
      <c r="D64" s="2" t="inlineStr">
        <is>
          <t>Sales</t>
        </is>
      </c>
      <c r="E64" s="2" t="inlineStr">
        <is>
          <t>Sales Executive</t>
        </is>
      </c>
      <c r="F64" s="2" t="n">
        <v>3.7</v>
      </c>
      <c r="G64" s="3" t="n">
        <v>240000</v>
      </c>
      <c r="H64" s="2" t="n">
        <v>9</v>
      </c>
      <c r="I64" s="2" t="n">
        <v>3</v>
      </c>
      <c r="J64" s="2" t="inlineStr">
        <is>
          <t>No</t>
        </is>
      </c>
      <c r="K64" s="2" t="inlineStr">
        <is>
          <t>No</t>
        </is>
      </c>
      <c r="L64" s="3">
        <f>G64/12</f>
        <v/>
      </c>
      <c r="M64" s="2">
        <f>IF(F64&lt;=2,"0-2 yrs",IF(F64&lt;=5,"3-5 yrs",IF(F64&lt;=10,"6-10 yrs","10+ yrs")))</f>
        <v/>
      </c>
      <c r="N64" s="3">
        <f>MEDIANIFS($G$2:$G$201,$D$2:$D$201,D64)</f>
        <v/>
      </c>
      <c r="O64" s="2">
        <f>MIN(100,IF(F64&lt;=2,20,0)+IF(I64&lt;=2,25,0)+IF(G64&lt;N64,15,0)+IF(J64="Yes",20,0)+IF(H64&lt;5,10,0))</f>
        <v/>
      </c>
      <c r="P64" s="2">
        <f>IF(O64&gt;=70,"High",IF(O64&gt;=40,"Medium","Low"))</f>
        <v/>
      </c>
    </row>
    <row r="65">
      <c r="A65" s="2" t="inlineStr">
        <is>
          <t>EMP1065</t>
        </is>
      </c>
      <c r="B65" s="2" t="n">
        <v>30</v>
      </c>
      <c r="C65" s="2" t="inlineStr">
        <is>
          <t>M</t>
        </is>
      </c>
      <c r="D65" s="2" t="inlineStr">
        <is>
          <t>IT</t>
        </is>
      </c>
      <c r="E65" s="2" t="inlineStr">
        <is>
          <t>Data Analyst</t>
        </is>
      </c>
      <c r="F65" s="2" t="n">
        <v>2.1</v>
      </c>
      <c r="G65" s="3" t="n">
        <v>695000</v>
      </c>
      <c r="H65" s="2" t="n">
        <v>26</v>
      </c>
      <c r="I65" s="2" t="n">
        <v>2</v>
      </c>
      <c r="J65" s="2" t="inlineStr">
        <is>
          <t>No</t>
        </is>
      </c>
      <c r="K65" s="2" t="inlineStr">
        <is>
          <t>No</t>
        </is>
      </c>
      <c r="L65" s="3">
        <f>G65/12</f>
        <v/>
      </c>
      <c r="M65" s="2">
        <f>IF(F65&lt;=2,"0-2 yrs",IF(F65&lt;=5,"3-5 yrs",IF(F65&lt;=10,"6-10 yrs","10+ yrs")))</f>
        <v/>
      </c>
      <c r="N65" s="3">
        <f>MEDIANIFS($G$2:$G$201,$D$2:$D$201,D65)</f>
        <v/>
      </c>
      <c r="O65" s="2">
        <f>MIN(100,IF(F65&lt;=2,20,0)+IF(I65&lt;=2,25,0)+IF(G65&lt;N65,15,0)+IF(J65="Yes",20,0)+IF(H65&lt;5,10,0))</f>
        <v/>
      </c>
      <c r="P65" s="2">
        <f>IF(O65&gt;=70,"High",IF(O65&gt;=40,"Medium","Low"))</f>
        <v/>
      </c>
    </row>
    <row r="66">
      <c r="A66" s="2" t="inlineStr">
        <is>
          <t>EMP1066</t>
        </is>
      </c>
      <c r="B66" s="2" t="n">
        <v>27</v>
      </c>
      <c r="C66" s="2" t="inlineStr">
        <is>
          <t>M</t>
        </is>
      </c>
      <c r="D66" s="2" t="inlineStr">
        <is>
          <t>Customer Support</t>
        </is>
      </c>
      <c r="E66" s="2" t="inlineStr">
        <is>
          <t>Customer Success Associate</t>
        </is>
      </c>
      <c r="F66" s="2" t="n">
        <v>0.3</v>
      </c>
      <c r="G66" s="3" t="n">
        <v>370000</v>
      </c>
      <c r="H66" s="2" t="n">
        <v>12</v>
      </c>
      <c r="I66" s="2" t="n">
        <v>2</v>
      </c>
      <c r="J66" s="2" t="inlineStr">
        <is>
          <t>No</t>
        </is>
      </c>
      <c r="K66" s="2" t="inlineStr">
        <is>
          <t>Yes</t>
        </is>
      </c>
      <c r="L66" s="3">
        <f>G66/12</f>
        <v/>
      </c>
      <c r="M66" s="2">
        <f>IF(F66&lt;=2,"0-2 yrs",IF(F66&lt;=5,"3-5 yrs",IF(F66&lt;=10,"6-10 yrs","10+ yrs")))</f>
        <v/>
      </c>
      <c r="N66" s="3">
        <f>MEDIANIFS($G$2:$G$201,$D$2:$D$201,D66)</f>
        <v/>
      </c>
      <c r="O66" s="2">
        <f>MIN(100,IF(F66&lt;=2,20,0)+IF(I66&lt;=2,25,0)+IF(G66&lt;N66,15,0)+IF(J66="Yes",20,0)+IF(H66&lt;5,10,0))</f>
        <v/>
      </c>
      <c r="P66" s="2">
        <f>IF(O66&gt;=70,"High",IF(O66&gt;=40,"Medium","Low"))</f>
        <v/>
      </c>
    </row>
    <row r="67">
      <c r="A67" s="2" t="inlineStr">
        <is>
          <t>EMP1067</t>
        </is>
      </c>
      <c r="B67" s="2" t="n">
        <v>25</v>
      </c>
      <c r="C67" s="2" t="inlineStr">
        <is>
          <t>F</t>
        </is>
      </c>
      <c r="D67" s="2" t="inlineStr">
        <is>
          <t>Sales</t>
        </is>
      </c>
      <c r="E67" s="2" t="inlineStr">
        <is>
          <t>Business Development Executive</t>
        </is>
      </c>
      <c r="F67" s="2" t="n">
        <v>6.3</v>
      </c>
      <c r="G67" s="3" t="n">
        <v>685000</v>
      </c>
      <c r="H67" s="2" t="n">
        <v>27</v>
      </c>
      <c r="I67" s="2" t="n">
        <v>5</v>
      </c>
      <c r="J67" s="2" t="inlineStr">
        <is>
          <t>Yes</t>
        </is>
      </c>
      <c r="K67" s="2" t="inlineStr">
        <is>
          <t>No</t>
        </is>
      </c>
      <c r="L67" s="3">
        <f>G67/12</f>
        <v/>
      </c>
      <c r="M67" s="2">
        <f>IF(F67&lt;=2,"0-2 yrs",IF(F67&lt;=5,"3-5 yrs",IF(F67&lt;=10,"6-10 yrs","10+ yrs")))</f>
        <v/>
      </c>
      <c r="N67" s="3">
        <f>MEDIANIFS($G$2:$G$201,$D$2:$D$201,D67)</f>
        <v/>
      </c>
      <c r="O67" s="2">
        <f>MIN(100,IF(F67&lt;=2,20,0)+IF(I67&lt;=2,25,0)+IF(G67&lt;N67,15,0)+IF(J67="Yes",20,0)+IF(H67&lt;5,10,0))</f>
        <v/>
      </c>
      <c r="P67" s="2">
        <f>IF(O67&gt;=70,"High",IF(O67&gt;=40,"Medium","Low"))</f>
        <v/>
      </c>
    </row>
    <row r="68">
      <c r="A68" s="2" t="inlineStr">
        <is>
          <t>EMP1068</t>
        </is>
      </c>
      <c r="B68" s="2" t="n">
        <v>34</v>
      </c>
      <c r="C68" s="2" t="inlineStr">
        <is>
          <t>M</t>
        </is>
      </c>
      <c r="D68" s="2" t="inlineStr">
        <is>
          <t>Sales</t>
        </is>
      </c>
      <c r="E68" s="2" t="inlineStr">
        <is>
          <t>Sales Manager</t>
        </is>
      </c>
      <c r="F68" s="2" t="n">
        <v>10.9</v>
      </c>
      <c r="G68" s="3" t="n">
        <v>830000</v>
      </c>
      <c r="H68" s="2" t="n">
        <v>27</v>
      </c>
      <c r="I68" s="2" t="n">
        <v>2</v>
      </c>
      <c r="J68" s="2" t="inlineStr">
        <is>
          <t>Yes</t>
        </is>
      </c>
      <c r="K68" s="2" t="inlineStr">
        <is>
          <t>No</t>
        </is>
      </c>
      <c r="L68" s="3">
        <f>G68/12</f>
        <v/>
      </c>
      <c r="M68" s="2">
        <f>IF(F68&lt;=2,"0-2 yrs",IF(F68&lt;=5,"3-5 yrs",IF(F68&lt;=10,"6-10 yrs","10+ yrs")))</f>
        <v/>
      </c>
      <c r="N68" s="3">
        <f>MEDIANIFS($G$2:$G$201,$D$2:$D$201,D68)</f>
        <v/>
      </c>
      <c r="O68" s="2">
        <f>MIN(100,IF(F68&lt;=2,20,0)+IF(I68&lt;=2,25,0)+IF(G68&lt;N68,15,0)+IF(J68="Yes",20,0)+IF(H68&lt;5,10,0))</f>
        <v/>
      </c>
      <c r="P68" s="2">
        <f>IF(O68&gt;=70,"High",IF(O68&gt;=40,"Medium","Low"))</f>
        <v/>
      </c>
    </row>
    <row r="69">
      <c r="A69" s="2" t="inlineStr">
        <is>
          <t>EMP1069</t>
        </is>
      </c>
      <c r="B69" s="2" t="n">
        <v>26</v>
      </c>
      <c r="C69" s="2" t="inlineStr">
        <is>
          <t>M</t>
        </is>
      </c>
      <c r="D69" s="2" t="inlineStr">
        <is>
          <t>Sales</t>
        </is>
      </c>
      <c r="E69" s="2" t="inlineStr">
        <is>
          <t>Sales Manager</t>
        </is>
      </c>
      <c r="F69" s="2" t="n">
        <v>3.8</v>
      </c>
      <c r="G69" s="3" t="n">
        <v>600000</v>
      </c>
      <c r="H69" s="2" t="n">
        <v>19</v>
      </c>
      <c r="I69" s="2" t="n">
        <v>3</v>
      </c>
      <c r="J69" s="2" t="inlineStr">
        <is>
          <t>No</t>
        </is>
      </c>
      <c r="K69" s="2" t="inlineStr">
        <is>
          <t>No</t>
        </is>
      </c>
      <c r="L69" s="3">
        <f>G69/12</f>
        <v/>
      </c>
      <c r="M69" s="2">
        <f>IF(F69&lt;=2,"0-2 yrs",IF(F69&lt;=5,"3-5 yrs",IF(F69&lt;=10,"6-10 yrs","10+ yrs")))</f>
        <v/>
      </c>
      <c r="N69" s="3">
        <f>MEDIANIFS($G$2:$G$201,$D$2:$D$201,D69)</f>
        <v/>
      </c>
      <c r="O69" s="2">
        <f>MIN(100,IF(F69&lt;=2,20,0)+IF(I69&lt;=2,25,0)+IF(G69&lt;N69,15,0)+IF(J69="Yes",20,0)+IF(H69&lt;5,10,0))</f>
        <v/>
      </c>
      <c r="P69" s="2">
        <f>IF(O69&gt;=70,"High",IF(O69&gt;=40,"Medium","Low"))</f>
        <v/>
      </c>
    </row>
    <row r="70">
      <c r="A70" s="2" t="inlineStr">
        <is>
          <t>EMP1070</t>
        </is>
      </c>
      <c r="B70" s="2" t="n">
        <v>43</v>
      </c>
      <c r="C70" s="2" t="inlineStr">
        <is>
          <t>M</t>
        </is>
      </c>
      <c r="D70" s="2" t="inlineStr">
        <is>
          <t>Sales</t>
        </is>
      </c>
      <c r="E70" s="2" t="inlineStr">
        <is>
          <t>Sales Manager</t>
        </is>
      </c>
      <c r="F70" s="2" t="n">
        <v>5.7</v>
      </c>
      <c r="G70" s="3" t="n">
        <v>240000</v>
      </c>
      <c r="H70" s="2" t="n">
        <v>28</v>
      </c>
      <c r="I70" s="2" t="n">
        <v>3</v>
      </c>
      <c r="J70" s="2" t="inlineStr">
        <is>
          <t>No</t>
        </is>
      </c>
      <c r="K70" s="2" t="inlineStr">
        <is>
          <t>No</t>
        </is>
      </c>
      <c r="L70" s="3">
        <f>G70/12</f>
        <v/>
      </c>
      <c r="M70" s="2">
        <f>IF(F70&lt;=2,"0-2 yrs",IF(F70&lt;=5,"3-5 yrs",IF(F70&lt;=10,"6-10 yrs","10+ yrs")))</f>
        <v/>
      </c>
      <c r="N70" s="3">
        <f>MEDIANIFS($G$2:$G$201,$D$2:$D$201,D70)</f>
        <v/>
      </c>
      <c r="O70" s="2">
        <f>MIN(100,IF(F70&lt;=2,20,0)+IF(I70&lt;=2,25,0)+IF(G70&lt;N70,15,0)+IF(J70="Yes",20,0)+IF(H70&lt;5,10,0))</f>
        <v/>
      </c>
      <c r="P70" s="2">
        <f>IF(O70&gt;=70,"High",IF(O70&gt;=40,"Medium","Low"))</f>
        <v/>
      </c>
    </row>
    <row r="71">
      <c r="A71" s="2" t="inlineStr">
        <is>
          <t>EMP1071</t>
        </is>
      </c>
      <c r="B71" s="2" t="n">
        <v>27</v>
      </c>
      <c r="C71" s="2" t="inlineStr">
        <is>
          <t>M</t>
        </is>
      </c>
      <c r="D71" s="2" t="inlineStr">
        <is>
          <t>Sales</t>
        </is>
      </c>
      <c r="E71" s="2" t="inlineStr">
        <is>
          <t>Sales Manager</t>
        </is>
      </c>
      <c r="F71" s="2" t="n">
        <v>7.2</v>
      </c>
      <c r="G71" s="3" t="n">
        <v>525000</v>
      </c>
      <c r="H71" s="2" t="n">
        <v>33</v>
      </c>
      <c r="I71" s="2" t="n">
        <v>5</v>
      </c>
      <c r="J71" s="2" t="inlineStr">
        <is>
          <t>No</t>
        </is>
      </c>
      <c r="K71" s="2" t="inlineStr">
        <is>
          <t>No</t>
        </is>
      </c>
      <c r="L71" s="3">
        <f>G71/12</f>
        <v/>
      </c>
      <c r="M71" s="2">
        <f>IF(F71&lt;=2,"0-2 yrs",IF(F71&lt;=5,"3-5 yrs",IF(F71&lt;=10,"6-10 yrs","10+ yrs")))</f>
        <v/>
      </c>
      <c r="N71" s="3">
        <f>MEDIANIFS($G$2:$G$201,$D$2:$D$201,D71)</f>
        <v/>
      </c>
      <c r="O71" s="2">
        <f>MIN(100,IF(F71&lt;=2,20,0)+IF(I71&lt;=2,25,0)+IF(G71&lt;N71,15,0)+IF(J71="Yes",20,0)+IF(H71&lt;5,10,0))</f>
        <v/>
      </c>
      <c r="P71" s="2">
        <f>IF(O71&gt;=70,"High",IF(O71&gt;=40,"Medium","Low"))</f>
        <v/>
      </c>
    </row>
    <row r="72">
      <c r="A72" s="2" t="inlineStr">
        <is>
          <t>EMP1072</t>
        </is>
      </c>
      <c r="B72" s="2" t="n">
        <v>34</v>
      </c>
      <c r="C72" s="2" t="inlineStr">
        <is>
          <t>F</t>
        </is>
      </c>
      <c r="D72" s="2" t="inlineStr">
        <is>
          <t>IT</t>
        </is>
      </c>
      <c r="E72" s="2" t="inlineStr">
        <is>
          <t>Data Analyst</t>
        </is>
      </c>
      <c r="F72" s="2" t="n">
        <v>13.9</v>
      </c>
      <c r="G72" s="3" t="n">
        <v>755000</v>
      </c>
      <c r="H72" s="2" t="n">
        <v>13</v>
      </c>
      <c r="I72" s="2" t="n">
        <v>2</v>
      </c>
      <c r="J72" s="2" t="inlineStr">
        <is>
          <t>No</t>
        </is>
      </c>
      <c r="K72" s="2" t="inlineStr">
        <is>
          <t>No</t>
        </is>
      </c>
      <c r="L72" s="3">
        <f>G72/12</f>
        <v/>
      </c>
      <c r="M72" s="2">
        <f>IF(F72&lt;=2,"0-2 yrs",IF(F72&lt;=5,"3-5 yrs",IF(F72&lt;=10,"6-10 yrs","10+ yrs")))</f>
        <v/>
      </c>
      <c r="N72" s="3">
        <f>MEDIANIFS($G$2:$G$201,$D$2:$D$201,D72)</f>
        <v/>
      </c>
      <c r="O72" s="2">
        <f>MIN(100,IF(F72&lt;=2,20,0)+IF(I72&lt;=2,25,0)+IF(G72&lt;N72,15,0)+IF(J72="Yes",20,0)+IF(H72&lt;5,10,0))</f>
        <v/>
      </c>
      <c r="P72" s="2">
        <f>IF(O72&gt;=70,"High",IF(O72&gt;=40,"Medium","Low"))</f>
        <v/>
      </c>
    </row>
    <row r="73">
      <c r="A73" s="2" t="inlineStr">
        <is>
          <t>EMP1073</t>
        </is>
      </c>
      <c r="B73" s="2" t="n">
        <v>33</v>
      </c>
      <c r="C73" s="2" t="inlineStr">
        <is>
          <t>F</t>
        </is>
      </c>
      <c r="D73" s="2" t="inlineStr">
        <is>
          <t>IT</t>
        </is>
      </c>
      <c r="E73" s="2" t="inlineStr">
        <is>
          <t>IT Support</t>
        </is>
      </c>
      <c r="F73" s="2" t="n">
        <v>8.9</v>
      </c>
      <c r="G73" s="3" t="n">
        <v>770000</v>
      </c>
      <c r="H73" s="2" t="n">
        <v>20</v>
      </c>
      <c r="I73" s="2" t="n">
        <v>4</v>
      </c>
      <c r="J73" s="2" t="inlineStr">
        <is>
          <t>No</t>
        </is>
      </c>
      <c r="K73" s="2" t="inlineStr">
        <is>
          <t>No</t>
        </is>
      </c>
      <c r="L73" s="3">
        <f>G73/12</f>
        <v/>
      </c>
      <c r="M73" s="2">
        <f>IF(F73&lt;=2,"0-2 yrs",IF(F73&lt;=5,"3-5 yrs",IF(F73&lt;=10,"6-10 yrs","10+ yrs")))</f>
        <v/>
      </c>
      <c r="N73" s="3">
        <f>MEDIANIFS($G$2:$G$201,$D$2:$D$201,D73)</f>
        <v/>
      </c>
      <c r="O73" s="2">
        <f>MIN(100,IF(F73&lt;=2,20,0)+IF(I73&lt;=2,25,0)+IF(G73&lt;N73,15,0)+IF(J73="Yes",20,0)+IF(H73&lt;5,10,0))</f>
        <v/>
      </c>
      <c r="P73" s="2">
        <f>IF(O73&gt;=70,"High",IF(O73&gt;=40,"Medium","Low"))</f>
        <v/>
      </c>
    </row>
    <row r="74">
      <c r="A74" s="2" t="inlineStr">
        <is>
          <t>EMP1074</t>
        </is>
      </c>
      <c r="B74" s="2" t="n">
        <v>35</v>
      </c>
      <c r="C74" s="2" t="inlineStr">
        <is>
          <t>M</t>
        </is>
      </c>
      <c r="D74" s="2" t="inlineStr">
        <is>
          <t>Sales</t>
        </is>
      </c>
      <c r="E74" s="2" t="inlineStr">
        <is>
          <t>Business Development Executive</t>
        </is>
      </c>
      <c r="F74" s="2" t="n">
        <v>5.5</v>
      </c>
      <c r="G74" s="3" t="n">
        <v>240000</v>
      </c>
      <c r="H74" s="2" t="n">
        <v>0</v>
      </c>
      <c r="I74" s="2" t="n">
        <v>3</v>
      </c>
      <c r="J74" s="2" t="inlineStr">
        <is>
          <t>No</t>
        </is>
      </c>
      <c r="K74" s="2" t="inlineStr">
        <is>
          <t>No</t>
        </is>
      </c>
      <c r="L74" s="3">
        <f>G74/12</f>
        <v/>
      </c>
      <c r="M74" s="2">
        <f>IF(F74&lt;=2,"0-2 yrs",IF(F74&lt;=5,"3-5 yrs",IF(F74&lt;=10,"6-10 yrs","10+ yrs")))</f>
        <v/>
      </c>
      <c r="N74" s="3">
        <f>MEDIANIFS($G$2:$G$201,$D$2:$D$201,D74)</f>
        <v/>
      </c>
      <c r="O74" s="2">
        <f>MIN(100,IF(F74&lt;=2,20,0)+IF(I74&lt;=2,25,0)+IF(G74&lt;N74,15,0)+IF(J74="Yes",20,0)+IF(H74&lt;5,10,0))</f>
        <v/>
      </c>
      <c r="P74" s="2">
        <f>IF(O74&gt;=70,"High",IF(O74&gt;=40,"Medium","Low"))</f>
        <v/>
      </c>
    </row>
    <row r="75">
      <c r="A75" s="2" t="inlineStr">
        <is>
          <t>EMP1075</t>
        </is>
      </c>
      <c r="B75" s="2" t="n">
        <v>39</v>
      </c>
      <c r="C75" s="2" t="inlineStr">
        <is>
          <t>M</t>
        </is>
      </c>
      <c r="D75" s="2" t="inlineStr">
        <is>
          <t>Finance</t>
        </is>
      </c>
      <c r="E75" s="2" t="inlineStr">
        <is>
          <t>Financial Analyst</t>
        </is>
      </c>
      <c r="F75" s="2" t="n">
        <v>13.2</v>
      </c>
      <c r="G75" s="3" t="n">
        <v>690000</v>
      </c>
      <c r="H75" s="2" t="n">
        <v>20</v>
      </c>
      <c r="I75" s="2" t="n">
        <v>2</v>
      </c>
      <c r="J75" s="2" t="inlineStr">
        <is>
          <t>Yes</t>
        </is>
      </c>
      <c r="K75" s="2" t="inlineStr">
        <is>
          <t>No</t>
        </is>
      </c>
      <c r="L75" s="3">
        <f>G75/12</f>
        <v/>
      </c>
      <c r="M75" s="2">
        <f>IF(F75&lt;=2,"0-2 yrs",IF(F75&lt;=5,"3-5 yrs",IF(F75&lt;=10,"6-10 yrs","10+ yrs")))</f>
        <v/>
      </c>
      <c r="N75" s="3">
        <f>MEDIANIFS($G$2:$G$201,$D$2:$D$201,D75)</f>
        <v/>
      </c>
      <c r="O75" s="2">
        <f>MIN(100,IF(F75&lt;=2,20,0)+IF(I75&lt;=2,25,0)+IF(G75&lt;N75,15,0)+IF(J75="Yes",20,0)+IF(H75&lt;5,10,0))</f>
        <v/>
      </c>
      <c r="P75" s="2">
        <f>IF(O75&gt;=70,"High",IF(O75&gt;=40,"Medium","Low"))</f>
        <v/>
      </c>
    </row>
    <row r="76">
      <c r="A76" s="2" t="inlineStr">
        <is>
          <t>EMP1076</t>
        </is>
      </c>
      <c r="B76" s="2" t="n">
        <v>40</v>
      </c>
      <c r="C76" s="2" t="inlineStr">
        <is>
          <t>F</t>
        </is>
      </c>
      <c r="D76" s="2" t="inlineStr">
        <is>
          <t>Operations</t>
        </is>
      </c>
      <c r="E76" s="2" t="inlineStr">
        <is>
          <t>Operations Executive</t>
        </is>
      </c>
      <c r="F76" s="2" t="n">
        <v>0.7</v>
      </c>
      <c r="G76" s="3" t="n">
        <v>735000</v>
      </c>
      <c r="H76" s="2" t="n">
        <v>18</v>
      </c>
      <c r="I76" s="2" t="n">
        <v>3</v>
      </c>
      <c r="J76" s="2" t="inlineStr">
        <is>
          <t>No</t>
        </is>
      </c>
      <c r="K76" s="2" t="inlineStr">
        <is>
          <t>No</t>
        </is>
      </c>
      <c r="L76" s="3">
        <f>G76/12</f>
        <v/>
      </c>
      <c r="M76" s="2">
        <f>IF(F76&lt;=2,"0-2 yrs",IF(F76&lt;=5,"3-5 yrs",IF(F76&lt;=10,"6-10 yrs","10+ yrs")))</f>
        <v/>
      </c>
      <c r="N76" s="3">
        <f>MEDIANIFS($G$2:$G$201,$D$2:$D$201,D76)</f>
        <v/>
      </c>
      <c r="O76" s="2">
        <f>MIN(100,IF(F76&lt;=2,20,0)+IF(I76&lt;=2,25,0)+IF(G76&lt;N76,15,0)+IF(J76="Yes",20,0)+IF(H76&lt;5,10,0))</f>
        <v/>
      </c>
      <c r="P76" s="2">
        <f>IF(O76&gt;=70,"High",IF(O76&gt;=40,"Medium","Low"))</f>
        <v/>
      </c>
    </row>
    <row r="77">
      <c r="A77" s="2" t="inlineStr">
        <is>
          <t>EMP1077</t>
        </is>
      </c>
      <c r="B77" s="2" t="n">
        <v>25</v>
      </c>
      <c r="C77" s="2" t="inlineStr">
        <is>
          <t>M</t>
        </is>
      </c>
      <c r="D77" s="2" t="inlineStr">
        <is>
          <t>Sales</t>
        </is>
      </c>
      <c r="E77" s="2" t="inlineStr">
        <is>
          <t>Sales Executive</t>
        </is>
      </c>
      <c r="F77" s="2" t="n">
        <v>8.199999999999999</v>
      </c>
      <c r="G77" s="3" t="n">
        <v>840000</v>
      </c>
      <c r="H77" s="2" t="n">
        <v>31</v>
      </c>
      <c r="I77" s="2" t="n">
        <v>4</v>
      </c>
      <c r="J77" s="2" t="inlineStr">
        <is>
          <t>No</t>
        </is>
      </c>
      <c r="K77" s="2" t="inlineStr">
        <is>
          <t>No</t>
        </is>
      </c>
      <c r="L77" s="3">
        <f>G77/12</f>
        <v/>
      </c>
      <c r="M77" s="2">
        <f>IF(F77&lt;=2,"0-2 yrs",IF(F77&lt;=5,"3-5 yrs",IF(F77&lt;=10,"6-10 yrs","10+ yrs")))</f>
        <v/>
      </c>
      <c r="N77" s="3">
        <f>MEDIANIFS($G$2:$G$201,$D$2:$D$201,D77)</f>
        <v/>
      </c>
      <c r="O77" s="2">
        <f>MIN(100,IF(F77&lt;=2,20,0)+IF(I77&lt;=2,25,0)+IF(G77&lt;N77,15,0)+IF(J77="Yes",20,0)+IF(H77&lt;5,10,0))</f>
        <v/>
      </c>
      <c r="P77" s="2">
        <f>IF(O77&gt;=70,"High",IF(O77&gt;=40,"Medium","Low"))</f>
        <v/>
      </c>
    </row>
    <row r="78">
      <c r="A78" s="2" t="inlineStr">
        <is>
          <t>EMP1078</t>
        </is>
      </c>
      <c r="B78" s="2" t="n">
        <v>32</v>
      </c>
      <c r="C78" s="2" t="inlineStr">
        <is>
          <t>M</t>
        </is>
      </c>
      <c r="D78" s="2" t="inlineStr">
        <is>
          <t>IT</t>
        </is>
      </c>
      <c r="E78" s="2" t="inlineStr">
        <is>
          <t>IT Support</t>
        </is>
      </c>
      <c r="F78" s="2" t="n">
        <v>2.9</v>
      </c>
      <c r="G78" s="3" t="n">
        <v>830000</v>
      </c>
      <c r="H78" s="2" t="n">
        <v>26</v>
      </c>
      <c r="I78" s="2" t="n">
        <v>5</v>
      </c>
      <c r="J78" s="2" t="inlineStr">
        <is>
          <t>Yes</t>
        </is>
      </c>
      <c r="K78" s="2" t="inlineStr">
        <is>
          <t>Yes</t>
        </is>
      </c>
      <c r="L78" s="3">
        <f>G78/12</f>
        <v/>
      </c>
      <c r="M78" s="2">
        <f>IF(F78&lt;=2,"0-2 yrs",IF(F78&lt;=5,"3-5 yrs",IF(F78&lt;=10,"6-10 yrs","10+ yrs")))</f>
        <v/>
      </c>
      <c r="N78" s="3">
        <f>MEDIANIFS($G$2:$G$201,$D$2:$D$201,D78)</f>
        <v/>
      </c>
      <c r="O78" s="2">
        <f>MIN(100,IF(F78&lt;=2,20,0)+IF(I78&lt;=2,25,0)+IF(G78&lt;N78,15,0)+IF(J78="Yes",20,0)+IF(H78&lt;5,10,0))</f>
        <v/>
      </c>
      <c r="P78" s="2">
        <f>IF(O78&gt;=70,"High",IF(O78&gt;=40,"Medium","Low"))</f>
        <v/>
      </c>
    </row>
    <row r="79">
      <c r="A79" s="2" t="inlineStr">
        <is>
          <t>EMP1079</t>
        </is>
      </c>
      <c r="B79" s="2" t="n">
        <v>21</v>
      </c>
      <c r="C79" s="2" t="inlineStr">
        <is>
          <t>F</t>
        </is>
      </c>
      <c r="D79" s="2" t="inlineStr">
        <is>
          <t>IT</t>
        </is>
      </c>
      <c r="E79" s="2" t="inlineStr">
        <is>
          <t>Software Engineer</t>
        </is>
      </c>
      <c r="F79" s="2" t="n">
        <v>10.9</v>
      </c>
      <c r="G79" s="3" t="n">
        <v>695000</v>
      </c>
      <c r="H79" s="2" t="n">
        <v>22</v>
      </c>
      <c r="I79" s="2" t="n">
        <v>2</v>
      </c>
      <c r="J79" s="2" t="inlineStr">
        <is>
          <t>No</t>
        </is>
      </c>
      <c r="K79" s="2" t="inlineStr">
        <is>
          <t>No</t>
        </is>
      </c>
      <c r="L79" s="3">
        <f>G79/12</f>
        <v/>
      </c>
      <c r="M79" s="2">
        <f>IF(F79&lt;=2,"0-2 yrs",IF(F79&lt;=5,"3-5 yrs",IF(F79&lt;=10,"6-10 yrs","10+ yrs")))</f>
        <v/>
      </c>
      <c r="N79" s="3">
        <f>MEDIANIFS($G$2:$G$201,$D$2:$D$201,D79)</f>
        <v/>
      </c>
      <c r="O79" s="2">
        <f>MIN(100,IF(F79&lt;=2,20,0)+IF(I79&lt;=2,25,0)+IF(G79&lt;N79,15,0)+IF(J79="Yes",20,0)+IF(H79&lt;5,10,0))</f>
        <v/>
      </c>
      <c r="P79" s="2">
        <f>IF(O79&gt;=70,"High",IF(O79&gt;=40,"Medium","Low"))</f>
        <v/>
      </c>
    </row>
    <row r="80">
      <c r="A80" s="2" t="inlineStr">
        <is>
          <t>EMP1080</t>
        </is>
      </c>
      <c r="B80" s="2" t="n">
        <v>25</v>
      </c>
      <c r="C80" s="2" t="inlineStr">
        <is>
          <t>F</t>
        </is>
      </c>
      <c r="D80" s="2" t="inlineStr">
        <is>
          <t>IT</t>
        </is>
      </c>
      <c r="E80" s="2" t="inlineStr">
        <is>
          <t>Data Analyst</t>
        </is>
      </c>
      <c r="F80" s="2" t="n">
        <v>11.1</v>
      </c>
      <c r="G80" s="3" t="n">
        <v>620000</v>
      </c>
      <c r="H80" s="2" t="n">
        <v>22</v>
      </c>
      <c r="I80" s="2" t="n">
        <v>3</v>
      </c>
      <c r="J80" s="2" t="inlineStr">
        <is>
          <t>Yes</t>
        </is>
      </c>
      <c r="K80" s="2" t="inlineStr">
        <is>
          <t>No</t>
        </is>
      </c>
      <c r="L80" s="3">
        <f>G80/12</f>
        <v/>
      </c>
      <c r="M80" s="2">
        <f>IF(F80&lt;=2,"0-2 yrs",IF(F80&lt;=5,"3-5 yrs",IF(F80&lt;=10,"6-10 yrs","10+ yrs")))</f>
        <v/>
      </c>
      <c r="N80" s="3">
        <f>MEDIANIFS($G$2:$G$201,$D$2:$D$201,D80)</f>
        <v/>
      </c>
      <c r="O80" s="2">
        <f>MIN(100,IF(F80&lt;=2,20,0)+IF(I80&lt;=2,25,0)+IF(G80&lt;N80,15,0)+IF(J80="Yes",20,0)+IF(H80&lt;5,10,0))</f>
        <v/>
      </c>
      <c r="P80" s="2">
        <f>IF(O80&gt;=70,"High",IF(O80&gt;=40,"Medium","Low"))</f>
        <v/>
      </c>
    </row>
    <row r="81">
      <c r="A81" s="2" t="inlineStr">
        <is>
          <t>EMP1081</t>
        </is>
      </c>
      <c r="B81" s="2" t="n">
        <v>28</v>
      </c>
      <c r="C81" s="2" t="inlineStr">
        <is>
          <t>F</t>
        </is>
      </c>
      <c r="D81" s="2" t="inlineStr">
        <is>
          <t>Sales</t>
        </is>
      </c>
      <c r="E81" s="2" t="inlineStr">
        <is>
          <t>Sales Manager</t>
        </is>
      </c>
      <c r="F81" s="2" t="n">
        <v>5.8</v>
      </c>
      <c r="G81" s="3" t="n">
        <v>425000</v>
      </c>
      <c r="H81" s="2" t="n">
        <v>1</v>
      </c>
      <c r="I81" s="2" t="n">
        <v>3</v>
      </c>
      <c r="J81" s="2" t="inlineStr">
        <is>
          <t>No</t>
        </is>
      </c>
      <c r="K81" s="2" t="inlineStr">
        <is>
          <t>No</t>
        </is>
      </c>
      <c r="L81" s="3">
        <f>G81/12</f>
        <v/>
      </c>
      <c r="M81" s="2">
        <f>IF(F81&lt;=2,"0-2 yrs",IF(F81&lt;=5,"3-5 yrs",IF(F81&lt;=10,"6-10 yrs","10+ yrs")))</f>
        <v/>
      </c>
      <c r="N81" s="3">
        <f>MEDIANIFS($G$2:$G$201,$D$2:$D$201,D81)</f>
        <v/>
      </c>
      <c r="O81" s="2">
        <f>MIN(100,IF(F81&lt;=2,20,0)+IF(I81&lt;=2,25,0)+IF(G81&lt;N81,15,0)+IF(J81="Yes",20,0)+IF(H81&lt;5,10,0))</f>
        <v/>
      </c>
      <c r="P81" s="2">
        <f>IF(O81&gt;=70,"High",IF(O81&gt;=40,"Medium","Low"))</f>
        <v/>
      </c>
    </row>
    <row r="82">
      <c r="A82" s="2" t="inlineStr">
        <is>
          <t>EMP1082</t>
        </is>
      </c>
      <c r="B82" s="2" t="n">
        <v>21</v>
      </c>
      <c r="C82" s="2" t="inlineStr">
        <is>
          <t>M</t>
        </is>
      </c>
      <c r="D82" s="2" t="inlineStr">
        <is>
          <t>IT</t>
        </is>
      </c>
      <c r="E82" s="2" t="inlineStr">
        <is>
          <t>IT Support</t>
        </is>
      </c>
      <c r="F82" s="2" t="n">
        <v>11.1</v>
      </c>
      <c r="G82" s="3" t="n">
        <v>590000</v>
      </c>
      <c r="H82" s="2" t="n">
        <v>22</v>
      </c>
      <c r="I82" s="2" t="n">
        <v>2</v>
      </c>
      <c r="J82" s="2" t="inlineStr">
        <is>
          <t>Yes</t>
        </is>
      </c>
      <c r="K82" s="2" t="inlineStr">
        <is>
          <t>No</t>
        </is>
      </c>
      <c r="L82" s="3">
        <f>G82/12</f>
        <v/>
      </c>
      <c r="M82" s="2">
        <f>IF(F82&lt;=2,"0-2 yrs",IF(F82&lt;=5,"3-5 yrs",IF(F82&lt;=10,"6-10 yrs","10+ yrs")))</f>
        <v/>
      </c>
      <c r="N82" s="3">
        <f>MEDIANIFS($G$2:$G$201,$D$2:$D$201,D82)</f>
        <v/>
      </c>
      <c r="O82" s="2">
        <f>MIN(100,IF(F82&lt;=2,20,0)+IF(I82&lt;=2,25,0)+IF(G82&lt;N82,15,0)+IF(J82="Yes",20,0)+IF(H82&lt;5,10,0))</f>
        <v/>
      </c>
      <c r="P82" s="2">
        <f>IF(O82&gt;=70,"High",IF(O82&gt;=40,"Medium","Low"))</f>
        <v/>
      </c>
    </row>
    <row r="83">
      <c r="A83" s="2" t="inlineStr">
        <is>
          <t>EMP1083</t>
        </is>
      </c>
      <c r="B83" s="2" t="n">
        <v>21</v>
      </c>
      <c r="C83" s="2" t="inlineStr">
        <is>
          <t>M</t>
        </is>
      </c>
      <c r="D83" s="2" t="inlineStr">
        <is>
          <t>Operations</t>
        </is>
      </c>
      <c r="E83" s="2" t="inlineStr">
        <is>
          <t>Process Analyst</t>
        </is>
      </c>
      <c r="F83" s="2" t="n">
        <v>4.3</v>
      </c>
      <c r="G83" s="3" t="n">
        <v>425000</v>
      </c>
      <c r="H83" s="2" t="n">
        <v>23</v>
      </c>
      <c r="I83" s="2" t="n">
        <v>5</v>
      </c>
      <c r="J83" s="2" t="inlineStr">
        <is>
          <t>Yes</t>
        </is>
      </c>
      <c r="K83" s="2" t="inlineStr">
        <is>
          <t>No</t>
        </is>
      </c>
      <c r="L83" s="3">
        <f>G83/12</f>
        <v/>
      </c>
      <c r="M83" s="2">
        <f>IF(F83&lt;=2,"0-2 yrs",IF(F83&lt;=5,"3-5 yrs",IF(F83&lt;=10,"6-10 yrs","10+ yrs")))</f>
        <v/>
      </c>
      <c r="N83" s="3">
        <f>MEDIANIFS($G$2:$G$201,$D$2:$D$201,D83)</f>
        <v/>
      </c>
      <c r="O83" s="2">
        <f>MIN(100,IF(F83&lt;=2,20,0)+IF(I83&lt;=2,25,0)+IF(G83&lt;N83,15,0)+IF(J83="Yes",20,0)+IF(H83&lt;5,10,0))</f>
        <v/>
      </c>
      <c r="P83" s="2">
        <f>IF(O83&gt;=70,"High",IF(O83&gt;=40,"Medium","Low"))</f>
        <v/>
      </c>
    </row>
    <row r="84">
      <c r="A84" s="2" t="inlineStr">
        <is>
          <t>EMP1084</t>
        </is>
      </c>
      <c r="B84" s="2" t="n">
        <v>46</v>
      </c>
      <c r="C84" s="2" t="inlineStr">
        <is>
          <t>M</t>
        </is>
      </c>
      <c r="D84" s="2" t="inlineStr">
        <is>
          <t>HR</t>
        </is>
      </c>
      <c r="E84" s="2" t="inlineStr">
        <is>
          <t>Recruiter</t>
        </is>
      </c>
      <c r="F84" s="2" t="n">
        <v>15</v>
      </c>
      <c r="G84" s="3" t="n">
        <v>660000</v>
      </c>
      <c r="H84" s="2" t="n">
        <v>31</v>
      </c>
      <c r="I84" s="2" t="n">
        <v>3</v>
      </c>
      <c r="J84" s="2" t="inlineStr">
        <is>
          <t>No</t>
        </is>
      </c>
      <c r="K84" s="2" t="inlineStr">
        <is>
          <t>No</t>
        </is>
      </c>
      <c r="L84" s="3">
        <f>G84/12</f>
        <v/>
      </c>
      <c r="M84" s="2">
        <f>IF(F84&lt;=2,"0-2 yrs",IF(F84&lt;=5,"3-5 yrs",IF(F84&lt;=10,"6-10 yrs","10+ yrs")))</f>
        <v/>
      </c>
      <c r="N84" s="3">
        <f>MEDIANIFS($G$2:$G$201,$D$2:$D$201,D84)</f>
        <v/>
      </c>
      <c r="O84" s="2">
        <f>MIN(100,IF(F84&lt;=2,20,0)+IF(I84&lt;=2,25,0)+IF(G84&lt;N84,15,0)+IF(J84="Yes",20,0)+IF(H84&lt;5,10,0))</f>
        <v/>
      </c>
      <c r="P84" s="2">
        <f>IF(O84&gt;=70,"High",IF(O84&gt;=40,"Medium","Low"))</f>
        <v/>
      </c>
    </row>
    <row r="85">
      <c r="A85" s="2" t="inlineStr">
        <is>
          <t>EMP1085</t>
        </is>
      </c>
      <c r="B85" s="2" t="n">
        <v>29</v>
      </c>
      <c r="C85" s="2" t="inlineStr">
        <is>
          <t>F</t>
        </is>
      </c>
      <c r="D85" s="2" t="inlineStr">
        <is>
          <t>IT</t>
        </is>
      </c>
      <c r="E85" s="2" t="inlineStr">
        <is>
          <t>Software Engineer</t>
        </is>
      </c>
      <c r="F85" s="2" t="n">
        <v>12.6</v>
      </c>
      <c r="G85" s="3" t="n">
        <v>590000</v>
      </c>
      <c r="H85" s="2" t="n">
        <v>33</v>
      </c>
      <c r="I85" s="2" t="n">
        <v>3</v>
      </c>
      <c r="J85" s="2" t="inlineStr">
        <is>
          <t>No</t>
        </is>
      </c>
      <c r="K85" s="2" t="inlineStr">
        <is>
          <t>No</t>
        </is>
      </c>
      <c r="L85" s="3">
        <f>G85/12</f>
        <v/>
      </c>
      <c r="M85" s="2">
        <f>IF(F85&lt;=2,"0-2 yrs",IF(F85&lt;=5,"3-5 yrs",IF(F85&lt;=10,"6-10 yrs","10+ yrs")))</f>
        <v/>
      </c>
      <c r="N85" s="3">
        <f>MEDIANIFS($G$2:$G$201,$D$2:$D$201,D85)</f>
        <v/>
      </c>
      <c r="O85" s="2">
        <f>MIN(100,IF(F85&lt;=2,20,0)+IF(I85&lt;=2,25,0)+IF(G85&lt;N85,15,0)+IF(J85="Yes",20,0)+IF(H85&lt;5,10,0))</f>
        <v/>
      </c>
      <c r="P85" s="2">
        <f>IF(O85&gt;=70,"High",IF(O85&gt;=40,"Medium","Low"))</f>
        <v/>
      </c>
    </row>
    <row r="86">
      <c r="A86" s="2" t="inlineStr">
        <is>
          <t>EMP1086</t>
        </is>
      </c>
      <c r="B86" s="2" t="n">
        <v>32</v>
      </c>
      <c r="C86" s="2" t="inlineStr">
        <is>
          <t>F</t>
        </is>
      </c>
      <c r="D86" s="2" t="inlineStr">
        <is>
          <t>Sales</t>
        </is>
      </c>
      <c r="E86" s="2" t="inlineStr">
        <is>
          <t>Sales Manager</t>
        </is>
      </c>
      <c r="F86" s="2" t="n">
        <v>2.5</v>
      </c>
      <c r="G86" s="3" t="n">
        <v>590000</v>
      </c>
      <c r="H86" s="2" t="n">
        <v>26</v>
      </c>
      <c r="I86" s="2" t="n">
        <v>3</v>
      </c>
      <c r="J86" s="2" t="inlineStr">
        <is>
          <t>Yes</t>
        </is>
      </c>
      <c r="K86" s="2" t="inlineStr">
        <is>
          <t>Yes</t>
        </is>
      </c>
      <c r="L86" s="3">
        <f>G86/12</f>
        <v/>
      </c>
      <c r="M86" s="2">
        <f>IF(F86&lt;=2,"0-2 yrs",IF(F86&lt;=5,"3-5 yrs",IF(F86&lt;=10,"6-10 yrs","10+ yrs")))</f>
        <v/>
      </c>
      <c r="N86" s="3">
        <f>MEDIANIFS($G$2:$G$201,$D$2:$D$201,D86)</f>
        <v/>
      </c>
      <c r="O86" s="2">
        <f>MIN(100,IF(F86&lt;=2,20,0)+IF(I86&lt;=2,25,0)+IF(G86&lt;N86,15,0)+IF(J86="Yes",20,0)+IF(H86&lt;5,10,0))</f>
        <v/>
      </c>
      <c r="P86" s="2">
        <f>IF(O86&gt;=70,"High",IF(O86&gt;=40,"Medium","Low"))</f>
        <v/>
      </c>
    </row>
    <row r="87">
      <c r="A87" s="2" t="inlineStr">
        <is>
          <t>EMP1087</t>
        </is>
      </c>
      <c r="B87" s="2" t="n">
        <v>23</v>
      </c>
      <c r="C87" s="2" t="inlineStr">
        <is>
          <t>M</t>
        </is>
      </c>
      <c r="D87" s="2" t="inlineStr">
        <is>
          <t>Marketing</t>
        </is>
      </c>
      <c r="E87" s="2" t="inlineStr">
        <is>
          <t>Brand Executive</t>
        </is>
      </c>
      <c r="F87" s="2" t="n">
        <v>10</v>
      </c>
      <c r="G87" s="3" t="n">
        <v>480000</v>
      </c>
      <c r="H87" s="2" t="n">
        <v>11</v>
      </c>
      <c r="I87" s="2" t="n">
        <v>3</v>
      </c>
      <c r="J87" s="2" t="inlineStr">
        <is>
          <t>No</t>
        </is>
      </c>
      <c r="K87" s="2" t="inlineStr">
        <is>
          <t>No</t>
        </is>
      </c>
      <c r="L87" s="3">
        <f>G87/12</f>
        <v/>
      </c>
      <c r="M87" s="2">
        <f>IF(F87&lt;=2,"0-2 yrs",IF(F87&lt;=5,"3-5 yrs",IF(F87&lt;=10,"6-10 yrs","10+ yrs")))</f>
        <v/>
      </c>
      <c r="N87" s="3">
        <f>MEDIANIFS($G$2:$G$201,$D$2:$D$201,D87)</f>
        <v/>
      </c>
      <c r="O87" s="2">
        <f>MIN(100,IF(F87&lt;=2,20,0)+IF(I87&lt;=2,25,0)+IF(G87&lt;N87,15,0)+IF(J87="Yes",20,0)+IF(H87&lt;5,10,0))</f>
        <v/>
      </c>
      <c r="P87" s="2">
        <f>IF(O87&gt;=70,"High",IF(O87&gt;=40,"Medium","Low"))</f>
        <v/>
      </c>
    </row>
    <row r="88">
      <c r="A88" s="2" t="inlineStr">
        <is>
          <t>EMP1088</t>
        </is>
      </c>
      <c r="B88" s="2" t="n">
        <v>41</v>
      </c>
      <c r="C88" s="2" t="inlineStr">
        <is>
          <t>F</t>
        </is>
      </c>
      <c r="D88" s="2" t="inlineStr">
        <is>
          <t>Sales</t>
        </is>
      </c>
      <c r="E88" s="2" t="inlineStr">
        <is>
          <t>Sales Manager</t>
        </is>
      </c>
      <c r="F88" s="2" t="n">
        <v>13.3</v>
      </c>
      <c r="G88" s="3" t="n">
        <v>745000</v>
      </c>
      <c r="H88" s="2" t="n">
        <v>30</v>
      </c>
      <c r="I88" s="2" t="n">
        <v>5</v>
      </c>
      <c r="J88" s="2" t="inlineStr">
        <is>
          <t>No</t>
        </is>
      </c>
      <c r="K88" s="2" t="inlineStr">
        <is>
          <t>No</t>
        </is>
      </c>
      <c r="L88" s="3">
        <f>G88/12</f>
        <v/>
      </c>
      <c r="M88" s="2">
        <f>IF(F88&lt;=2,"0-2 yrs",IF(F88&lt;=5,"3-5 yrs",IF(F88&lt;=10,"6-10 yrs","10+ yrs")))</f>
        <v/>
      </c>
      <c r="N88" s="3">
        <f>MEDIANIFS($G$2:$G$201,$D$2:$D$201,D88)</f>
        <v/>
      </c>
      <c r="O88" s="2">
        <f>MIN(100,IF(F88&lt;=2,20,0)+IF(I88&lt;=2,25,0)+IF(G88&lt;N88,15,0)+IF(J88="Yes",20,0)+IF(H88&lt;5,10,0))</f>
        <v/>
      </c>
      <c r="P88" s="2">
        <f>IF(O88&gt;=70,"High",IF(O88&gt;=40,"Medium","Low"))</f>
        <v/>
      </c>
    </row>
    <row r="89">
      <c r="A89" s="2" t="inlineStr">
        <is>
          <t>EMP1089</t>
        </is>
      </c>
      <c r="B89" s="2" t="n">
        <v>33</v>
      </c>
      <c r="C89" s="2" t="inlineStr">
        <is>
          <t>M</t>
        </is>
      </c>
      <c r="D89" s="2" t="inlineStr">
        <is>
          <t>IT</t>
        </is>
      </c>
      <c r="E89" s="2" t="inlineStr">
        <is>
          <t>Data Analyst</t>
        </is>
      </c>
      <c r="F89" s="2" t="n">
        <v>5</v>
      </c>
      <c r="G89" s="3" t="n">
        <v>280000</v>
      </c>
      <c r="H89" s="2" t="n">
        <v>35</v>
      </c>
      <c r="I89" s="2" t="n">
        <v>4</v>
      </c>
      <c r="J89" s="2" t="inlineStr">
        <is>
          <t>No</t>
        </is>
      </c>
      <c r="K89" s="2" t="inlineStr">
        <is>
          <t>No</t>
        </is>
      </c>
      <c r="L89" s="3">
        <f>G89/12</f>
        <v/>
      </c>
      <c r="M89" s="2">
        <f>IF(F89&lt;=2,"0-2 yrs",IF(F89&lt;=5,"3-5 yrs",IF(F89&lt;=10,"6-10 yrs","10+ yrs")))</f>
        <v/>
      </c>
      <c r="N89" s="3">
        <f>MEDIANIFS($G$2:$G$201,$D$2:$D$201,D89)</f>
        <v/>
      </c>
      <c r="O89" s="2">
        <f>MIN(100,IF(F89&lt;=2,20,0)+IF(I89&lt;=2,25,0)+IF(G89&lt;N89,15,0)+IF(J89="Yes",20,0)+IF(H89&lt;5,10,0))</f>
        <v/>
      </c>
      <c r="P89" s="2">
        <f>IF(O89&gt;=70,"High",IF(O89&gt;=40,"Medium","Low"))</f>
        <v/>
      </c>
    </row>
    <row r="90">
      <c r="A90" s="2" t="inlineStr">
        <is>
          <t>EMP1090</t>
        </is>
      </c>
      <c r="B90" s="2" t="n">
        <v>21</v>
      </c>
      <c r="C90" s="2" t="inlineStr">
        <is>
          <t>F</t>
        </is>
      </c>
      <c r="D90" s="2" t="inlineStr">
        <is>
          <t>IT</t>
        </is>
      </c>
      <c r="E90" s="2" t="inlineStr">
        <is>
          <t>Data Analyst</t>
        </is>
      </c>
      <c r="F90" s="2" t="n">
        <v>5.8</v>
      </c>
      <c r="G90" s="3" t="n">
        <v>780000</v>
      </c>
      <c r="H90" s="2" t="n">
        <v>11</v>
      </c>
      <c r="I90" s="2" t="n">
        <v>4</v>
      </c>
      <c r="J90" s="2" t="inlineStr">
        <is>
          <t>Yes</t>
        </is>
      </c>
      <c r="K90" s="2" t="inlineStr">
        <is>
          <t>No</t>
        </is>
      </c>
      <c r="L90" s="3">
        <f>G90/12</f>
        <v/>
      </c>
      <c r="M90" s="2">
        <f>IF(F90&lt;=2,"0-2 yrs",IF(F90&lt;=5,"3-5 yrs",IF(F90&lt;=10,"6-10 yrs","10+ yrs")))</f>
        <v/>
      </c>
      <c r="N90" s="3">
        <f>MEDIANIFS($G$2:$G$201,$D$2:$D$201,D90)</f>
        <v/>
      </c>
      <c r="O90" s="2">
        <f>MIN(100,IF(F90&lt;=2,20,0)+IF(I90&lt;=2,25,0)+IF(G90&lt;N90,15,0)+IF(J90="Yes",20,0)+IF(H90&lt;5,10,0))</f>
        <v/>
      </c>
      <c r="P90" s="2">
        <f>IF(O90&gt;=70,"High",IF(O90&gt;=40,"Medium","Low"))</f>
        <v/>
      </c>
    </row>
    <row r="91">
      <c r="A91" s="2" t="inlineStr">
        <is>
          <t>EMP1091</t>
        </is>
      </c>
      <c r="B91" s="2" t="n">
        <v>38</v>
      </c>
      <c r="C91" s="2" t="inlineStr">
        <is>
          <t>F</t>
        </is>
      </c>
      <c r="D91" s="2" t="inlineStr">
        <is>
          <t>Operations</t>
        </is>
      </c>
      <c r="E91" s="2" t="inlineStr">
        <is>
          <t>Operations Manager</t>
        </is>
      </c>
      <c r="F91" s="2" t="n">
        <v>1.9</v>
      </c>
      <c r="G91" s="3" t="n">
        <v>675000</v>
      </c>
      <c r="H91" s="2" t="n">
        <v>19</v>
      </c>
      <c r="I91" s="2" t="n">
        <v>3</v>
      </c>
      <c r="J91" s="2" t="inlineStr">
        <is>
          <t>Yes</t>
        </is>
      </c>
      <c r="K91" s="2" t="inlineStr">
        <is>
          <t>No</t>
        </is>
      </c>
      <c r="L91" s="3">
        <f>G91/12</f>
        <v/>
      </c>
      <c r="M91" s="2">
        <f>IF(F91&lt;=2,"0-2 yrs",IF(F91&lt;=5,"3-5 yrs",IF(F91&lt;=10,"6-10 yrs","10+ yrs")))</f>
        <v/>
      </c>
      <c r="N91" s="3">
        <f>MEDIANIFS($G$2:$G$201,$D$2:$D$201,D91)</f>
        <v/>
      </c>
      <c r="O91" s="2">
        <f>MIN(100,IF(F91&lt;=2,20,0)+IF(I91&lt;=2,25,0)+IF(G91&lt;N91,15,0)+IF(J91="Yes",20,0)+IF(H91&lt;5,10,0))</f>
        <v/>
      </c>
      <c r="P91" s="2">
        <f>IF(O91&gt;=70,"High",IF(O91&gt;=40,"Medium","Low"))</f>
        <v/>
      </c>
    </row>
    <row r="92">
      <c r="A92" s="2" t="inlineStr">
        <is>
          <t>EMP1092</t>
        </is>
      </c>
      <c r="B92" s="2" t="n">
        <v>27</v>
      </c>
      <c r="C92" s="2" t="inlineStr">
        <is>
          <t>F</t>
        </is>
      </c>
      <c r="D92" s="2" t="inlineStr">
        <is>
          <t>Sales</t>
        </is>
      </c>
      <c r="E92" s="2" t="inlineStr">
        <is>
          <t>Sales Manager</t>
        </is>
      </c>
      <c r="F92" s="2" t="n">
        <v>9.6</v>
      </c>
      <c r="G92" s="3" t="n">
        <v>555000</v>
      </c>
      <c r="H92" s="2" t="n">
        <v>5</v>
      </c>
      <c r="I92" s="2" t="n">
        <v>3</v>
      </c>
      <c r="J92" s="2" t="inlineStr">
        <is>
          <t>Yes</t>
        </is>
      </c>
      <c r="K92" s="2" t="inlineStr">
        <is>
          <t>No</t>
        </is>
      </c>
      <c r="L92" s="3">
        <f>G92/12</f>
        <v/>
      </c>
      <c r="M92" s="2">
        <f>IF(F92&lt;=2,"0-2 yrs",IF(F92&lt;=5,"3-5 yrs",IF(F92&lt;=10,"6-10 yrs","10+ yrs")))</f>
        <v/>
      </c>
      <c r="N92" s="3">
        <f>MEDIANIFS($G$2:$G$201,$D$2:$D$201,D92)</f>
        <v/>
      </c>
      <c r="O92" s="2">
        <f>MIN(100,IF(F92&lt;=2,20,0)+IF(I92&lt;=2,25,0)+IF(G92&lt;N92,15,0)+IF(J92="Yes",20,0)+IF(H92&lt;5,10,0))</f>
        <v/>
      </c>
      <c r="P92" s="2">
        <f>IF(O92&gt;=70,"High",IF(O92&gt;=40,"Medium","Low"))</f>
        <v/>
      </c>
    </row>
    <row r="93">
      <c r="A93" s="2" t="inlineStr">
        <is>
          <t>EMP1093</t>
        </is>
      </c>
      <c r="B93" s="2" t="n">
        <v>31</v>
      </c>
      <c r="C93" s="2" t="inlineStr">
        <is>
          <t>M</t>
        </is>
      </c>
      <c r="D93" s="2" t="inlineStr">
        <is>
          <t>Finance</t>
        </is>
      </c>
      <c r="E93" s="2" t="inlineStr">
        <is>
          <t>Accountant</t>
        </is>
      </c>
      <c r="F93" s="2" t="n">
        <v>8.699999999999999</v>
      </c>
      <c r="G93" s="3" t="n">
        <v>630000</v>
      </c>
      <c r="H93" s="2" t="n">
        <v>0</v>
      </c>
      <c r="I93" s="2" t="n">
        <v>4</v>
      </c>
      <c r="J93" s="2" t="inlineStr">
        <is>
          <t>Yes</t>
        </is>
      </c>
      <c r="K93" s="2" t="inlineStr">
        <is>
          <t>Yes</t>
        </is>
      </c>
      <c r="L93" s="3">
        <f>G93/12</f>
        <v/>
      </c>
      <c r="M93" s="2">
        <f>IF(F93&lt;=2,"0-2 yrs",IF(F93&lt;=5,"3-5 yrs",IF(F93&lt;=10,"6-10 yrs","10+ yrs")))</f>
        <v/>
      </c>
      <c r="N93" s="3">
        <f>MEDIANIFS($G$2:$G$201,$D$2:$D$201,D93)</f>
        <v/>
      </c>
      <c r="O93" s="2">
        <f>MIN(100,IF(F93&lt;=2,20,0)+IF(I93&lt;=2,25,0)+IF(G93&lt;N93,15,0)+IF(J93="Yes",20,0)+IF(H93&lt;5,10,0))</f>
        <v/>
      </c>
      <c r="P93" s="2">
        <f>IF(O93&gt;=70,"High",IF(O93&gt;=40,"Medium","Low"))</f>
        <v/>
      </c>
    </row>
    <row r="94">
      <c r="A94" s="2" t="inlineStr">
        <is>
          <t>EMP1094</t>
        </is>
      </c>
      <c r="B94" s="2" t="n">
        <v>25</v>
      </c>
      <c r="C94" s="2" t="inlineStr">
        <is>
          <t>F</t>
        </is>
      </c>
      <c r="D94" s="2" t="inlineStr">
        <is>
          <t>IT</t>
        </is>
      </c>
      <c r="E94" s="2" t="inlineStr">
        <is>
          <t>Software Engineer</t>
        </is>
      </c>
      <c r="F94" s="2" t="n">
        <v>4.1</v>
      </c>
      <c r="G94" s="3" t="n">
        <v>835000</v>
      </c>
      <c r="H94" s="2" t="n">
        <v>0</v>
      </c>
      <c r="I94" s="2" t="n">
        <v>3</v>
      </c>
      <c r="J94" s="2" t="inlineStr">
        <is>
          <t>Yes</t>
        </is>
      </c>
      <c r="K94" s="2" t="inlineStr">
        <is>
          <t>Yes</t>
        </is>
      </c>
      <c r="L94" s="3">
        <f>G94/12</f>
        <v/>
      </c>
      <c r="M94" s="2">
        <f>IF(F94&lt;=2,"0-2 yrs",IF(F94&lt;=5,"3-5 yrs",IF(F94&lt;=10,"6-10 yrs","10+ yrs")))</f>
        <v/>
      </c>
      <c r="N94" s="3">
        <f>MEDIANIFS($G$2:$G$201,$D$2:$D$201,D94)</f>
        <v/>
      </c>
      <c r="O94" s="2">
        <f>MIN(100,IF(F94&lt;=2,20,0)+IF(I94&lt;=2,25,0)+IF(G94&lt;N94,15,0)+IF(J94="Yes",20,0)+IF(H94&lt;5,10,0))</f>
        <v/>
      </c>
      <c r="P94" s="2">
        <f>IF(O94&gt;=70,"High",IF(O94&gt;=40,"Medium","Low"))</f>
        <v/>
      </c>
    </row>
    <row r="95">
      <c r="A95" s="2" t="inlineStr">
        <is>
          <t>EMP1095</t>
        </is>
      </c>
      <c r="B95" s="2" t="n">
        <v>23</v>
      </c>
      <c r="C95" s="2" t="inlineStr">
        <is>
          <t>F</t>
        </is>
      </c>
      <c r="D95" s="2" t="inlineStr">
        <is>
          <t>Operations</t>
        </is>
      </c>
      <c r="E95" s="2" t="inlineStr">
        <is>
          <t>Process Analyst</t>
        </is>
      </c>
      <c r="F95" s="2" t="n">
        <v>1.4</v>
      </c>
      <c r="G95" s="3" t="n">
        <v>830000</v>
      </c>
      <c r="H95" s="2" t="n">
        <v>16</v>
      </c>
      <c r="I95" s="2" t="n">
        <v>4</v>
      </c>
      <c r="J95" s="2" t="inlineStr">
        <is>
          <t>No</t>
        </is>
      </c>
      <c r="K95" s="2" t="inlineStr">
        <is>
          <t>No</t>
        </is>
      </c>
      <c r="L95" s="3">
        <f>G95/12</f>
        <v/>
      </c>
      <c r="M95" s="2">
        <f>IF(F95&lt;=2,"0-2 yrs",IF(F95&lt;=5,"3-5 yrs",IF(F95&lt;=10,"6-10 yrs","10+ yrs")))</f>
        <v/>
      </c>
      <c r="N95" s="3">
        <f>MEDIANIFS($G$2:$G$201,$D$2:$D$201,D95)</f>
        <v/>
      </c>
      <c r="O95" s="2">
        <f>MIN(100,IF(F95&lt;=2,20,0)+IF(I95&lt;=2,25,0)+IF(G95&lt;N95,15,0)+IF(J95="Yes",20,0)+IF(H95&lt;5,10,0))</f>
        <v/>
      </c>
      <c r="P95" s="2">
        <f>IF(O95&gt;=70,"High",IF(O95&gt;=40,"Medium","Low"))</f>
        <v/>
      </c>
    </row>
    <row r="96">
      <c r="A96" s="2" t="inlineStr">
        <is>
          <t>EMP1096</t>
        </is>
      </c>
      <c r="B96" s="2" t="n">
        <v>30</v>
      </c>
      <c r="C96" s="2" t="inlineStr">
        <is>
          <t>M</t>
        </is>
      </c>
      <c r="D96" s="2" t="inlineStr">
        <is>
          <t>IT</t>
        </is>
      </c>
      <c r="E96" s="2" t="inlineStr">
        <is>
          <t>IT Support</t>
        </is>
      </c>
      <c r="F96" s="2" t="n">
        <v>14.3</v>
      </c>
      <c r="G96" s="3" t="n">
        <v>400000</v>
      </c>
      <c r="H96" s="2" t="n">
        <v>24</v>
      </c>
      <c r="I96" s="2" t="n">
        <v>1</v>
      </c>
      <c r="J96" s="2" t="inlineStr">
        <is>
          <t>No</t>
        </is>
      </c>
      <c r="K96" s="2" t="inlineStr">
        <is>
          <t>No</t>
        </is>
      </c>
      <c r="L96" s="3">
        <f>G96/12</f>
        <v/>
      </c>
      <c r="M96" s="2">
        <f>IF(F96&lt;=2,"0-2 yrs",IF(F96&lt;=5,"3-5 yrs",IF(F96&lt;=10,"6-10 yrs","10+ yrs")))</f>
        <v/>
      </c>
      <c r="N96" s="3">
        <f>MEDIANIFS($G$2:$G$201,$D$2:$D$201,D96)</f>
        <v/>
      </c>
      <c r="O96" s="2">
        <f>MIN(100,IF(F96&lt;=2,20,0)+IF(I96&lt;=2,25,0)+IF(G96&lt;N96,15,0)+IF(J96="Yes",20,0)+IF(H96&lt;5,10,0))</f>
        <v/>
      </c>
      <c r="P96" s="2">
        <f>IF(O96&gt;=70,"High",IF(O96&gt;=40,"Medium","Low"))</f>
        <v/>
      </c>
    </row>
    <row r="97">
      <c r="A97" s="2" t="inlineStr">
        <is>
          <t>EMP1097</t>
        </is>
      </c>
      <c r="B97" s="2" t="n">
        <v>21</v>
      </c>
      <c r="C97" s="2" t="inlineStr">
        <is>
          <t>M</t>
        </is>
      </c>
      <c r="D97" s="2" t="inlineStr">
        <is>
          <t>IT</t>
        </is>
      </c>
      <c r="E97" s="2" t="inlineStr">
        <is>
          <t>Software Engineer</t>
        </is>
      </c>
      <c r="F97" s="2" t="n">
        <v>11.6</v>
      </c>
      <c r="G97" s="3" t="n">
        <v>415000</v>
      </c>
      <c r="H97" s="2" t="n">
        <v>0</v>
      </c>
      <c r="I97" s="2" t="n">
        <v>4</v>
      </c>
      <c r="J97" s="2" t="inlineStr">
        <is>
          <t>No</t>
        </is>
      </c>
      <c r="K97" s="2" t="inlineStr">
        <is>
          <t>No</t>
        </is>
      </c>
      <c r="L97" s="3">
        <f>G97/12</f>
        <v/>
      </c>
      <c r="M97" s="2">
        <f>IF(F97&lt;=2,"0-2 yrs",IF(F97&lt;=5,"3-5 yrs",IF(F97&lt;=10,"6-10 yrs","10+ yrs")))</f>
        <v/>
      </c>
      <c r="N97" s="3">
        <f>MEDIANIFS($G$2:$G$201,$D$2:$D$201,D97)</f>
        <v/>
      </c>
      <c r="O97" s="2">
        <f>MIN(100,IF(F97&lt;=2,20,0)+IF(I97&lt;=2,25,0)+IF(G97&lt;N97,15,0)+IF(J97="Yes",20,0)+IF(H97&lt;5,10,0))</f>
        <v/>
      </c>
      <c r="P97" s="2">
        <f>IF(O97&gt;=70,"High",IF(O97&gt;=40,"Medium","Low"))</f>
        <v/>
      </c>
    </row>
    <row r="98">
      <c r="A98" s="2" t="inlineStr">
        <is>
          <t>EMP1098</t>
        </is>
      </c>
      <c r="B98" s="2" t="n">
        <v>36</v>
      </c>
      <c r="C98" s="2" t="inlineStr">
        <is>
          <t>F</t>
        </is>
      </c>
      <c r="D98" s="2" t="inlineStr">
        <is>
          <t>HR</t>
        </is>
      </c>
      <c r="E98" s="2" t="inlineStr">
        <is>
          <t>HR Executive</t>
        </is>
      </c>
      <c r="F98" s="2" t="n">
        <v>1.4</v>
      </c>
      <c r="G98" s="3" t="n">
        <v>515000</v>
      </c>
      <c r="H98" s="2" t="n">
        <v>17</v>
      </c>
      <c r="I98" s="2" t="n">
        <v>2</v>
      </c>
      <c r="J98" s="2" t="inlineStr">
        <is>
          <t>No</t>
        </is>
      </c>
      <c r="K98" s="2" t="inlineStr">
        <is>
          <t>No</t>
        </is>
      </c>
      <c r="L98" s="3">
        <f>G98/12</f>
        <v/>
      </c>
      <c r="M98" s="2">
        <f>IF(F98&lt;=2,"0-2 yrs",IF(F98&lt;=5,"3-5 yrs",IF(F98&lt;=10,"6-10 yrs","10+ yrs")))</f>
        <v/>
      </c>
      <c r="N98" s="3">
        <f>MEDIANIFS($G$2:$G$201,$D$2:$D$201,D98)</f>
        <v/>
      </c>
      <c r="O98" s="2">
        <f>MIN(100,IF(F98&lt;=2,20,0)+IF(I98&lt;=2,25,0)+IF(G98&lt;N98,15,0)+IF(J98="Yes",20,0)+IF(H98&lt;5,10,0))</f>
        <v/>
      </c>
      <c r="P98" s="2">
        <f>IF(O98&gt;=70,"High",IF(O98&gt;=40,"Medium","Low"))</f>
        <v/>
      </c>
    </row>
    <row r="99">
      <c r="A99" s="2" t="inlineStr">
        <is>
          <t>EMP1099</t>
        </is>
      </c>
      <c r="B99" s="2" t="n">
        <v>34</v>
      </c>
      <c r="C99" s="2" t="inlineStr">
        <is>
          <t>F</t>
        </is>
      </c>
      <c r="D99" s="2" t="inlineStr">
        <is>
          <t>Operations</t>
        </is>
      </c>
      <c r="E99" s="2" t="inlineStr">
        <is>
          <t>Process Analyst</t>
        </is>
      </c>
      <c r="F99" s="2" t="n">
        <v>12.1</v>
      </c>
      <c r="G99" s="3" t="n">
        <v>655000</v>
      </c>
      <c r="H99" s="2" t="n">
        <v>18</v>
      </c>
      <c r="I99" s="2" t="n">
        <v>5</v>
      </c>
      <c r="J99" s="2" t="inlineStr">
        <is>
          <t>No</t>
        </is>
      </c>
      <c r="K99" s="2" t="inlineStr">
        <is>
          <t>No</t>
        </is>
      </c>
      <c r="L99" s="3">
        <f>G99/12</f>
        <v/>
      </c>
      <c r="M99" s="2">
        <f>IF(F99&lt;=2,"0-2 yrs",IF(F99&lt;=5,"3-5 yrs",IF(F99&lt;=10,"6-10 yrs","10+ yrs")))</f>
        <v/>
      </c>
      <c r="N99" s="3">
        <f>MEDIANIFS($G$2:$G$201,$D$2:$D$201,D99)</f>
        <v/>
      </c>
      <c r="O99" s="2">
        <f>MIN(100,IF(F99&lt;=2,20,0)+IF(I99&lt;=2,25,0)+IF(G99&lt;N99,15,0)+IF(J99="Yes",20,0)+IF(H99&lt;5,10,0))</f>
        <v/>
      </c>
      <c r="P99" s="2">
        <f>IF(O99&gt;=70,"High",IF(O99&gt;=40,"Medium","Low"))</f>
        <v/>
      </c>
    </row>
    <row r="100">
      <c r="A100" s="2" t="inlineStr">
        <is>
          <t>EMP1100</t>
        </is>
      </c>
      <c r="B100" s="2" t="n">
        <v>31</v>
      </c>
      <c r="C100" s="2" t="inlineStr">
        <is>
          <t>F</t>
        </is>
      </c>
      <c r="D100" s="2" t="inlineStr">
        <is>
          <t>HR</t>
        </is>
      </c>
      <c r="E100" s="2" t="inlineStr">
        <is>
          <t>HR Analyst</t>
        </is>
      </c>
      <c r="F100" s="2" t="n">
        <v>10.1</v>
      </c>
      <c r="G100" s="3" t="n">
        <v>530000</v>
      </c>
      <c r="H100" s="2" t="n">
        <v>26</v>
      </c>
      <c r="I100" s="2" t="n">
        <v>1</v>
      </c>
      <c r="J100" s="2" t="inlineStr">
        <is>
          <t>No</t>
        </is>
      </c>
      <c r="K100" s="2" t="inlineStr">
        <is>
          <t>No</t>
        </is>
      </c>
      <c r="L100" s="3">
        <f>G100/12</f>
        <v/>
      </c>
      <c r="M100" s="2">
        <f>IF(F100&lt;=2,"0-2 yrs",IF(F100&lt;=5,"3-5 yrs",IF(F100&lt;=10,"6-10 yrs","10+ yrs")))</f>
        <v/>
      </c>
      <c r="N100" s="3">
        <f>MEDIANIFS($G$2:$G$201,$D$2:$D$201,D100)</f>
        <v/>
      </c>
      <c r="O100" s="2">
        <f>MIN(100,IF(F100&lt;=2,20,0)+IF(I100&lt;=2,25,0)+IF(G100&lt;N100,15,0)+IF(J100="Yes",20,0)+IF(H100&lt;5,10,0))</f>
        <v/>
      </c>
      <c r="P100" s="2">
        <f>IF(O100&gt;=70,"High",IF(O100&gt;=40,"Medium","Low"))</f>
        <v/>
      </c>
    </row>
    <row r="101">
      <c r="A101" s="2" t="inlineStr">
        <is>
          <t>EMP1101</t>
        </is>
      </c>
      <c r="B101" s="2" t="n">
        <v>31</v>
      </c>
      <c r="C101" s="2" t="inlineStr">
        <is>
          <t>F</t>
        </is>
      </c>
      <c r="D101" s="2" t="inlineStr">
        <is>
          <t>Customer Support</t>
        </is>
      </c>
      <c r="E101" s="2" t="inlineStr">
        <is>
          <t>Customer Success Associate</t>
        </is>
      </c>
      <c r="F101" s="2" t="n">
        <v>14.6</v>
      </c>
      <c r="G101" s="3" t="n">
        <v>945000</v>
      </c>
      <c r="H101" s="2" t="n">
        <v>0</v>
      </c>
      <c r="I101" s="2" t="n">
        <v>4</v>
      </c>
      <c r="J101" s="2" t="inlineStr">
        <is>
          <t>No</t>
        </is>
      </c>
      <c r="K101" s="2" t="inlineStr">
        <is>
          <t>No</t>
        </is>
      </c>
      <c r="L101" s="3">
        <f>G101/12</f>
        <v/>
      </c>
      <c r="M101" s="2">
        <f>IF(F101&lt;=2,"0-2 yrs",IF(F101&lt;=5,"3-5 yrs",IF(F101&lt;=10,"6-10 yrs","10+ yrs")))</f>
        <v/>
      </c>
      <c r="N101" s="3">
        <f>MEDIANIFS($G$2:$G$201,$D$2:$D$201,D101)</f>
        <v/>
      </c>
      <c r="O101" s="2">
        <f>MIN(100,IF(F101&lt;=2,20,0)+IF(I101&lt;=2,25,0)+IF(G101&lt;N101,15,0)+IF(J101="Yes",20,0)+IF(H101&lt;5,10,0))</f>
        <v/>
      </c>
      <c r="P101" s="2">
        <f>IF(O101&gt;=70,"High",IF(O101&gt;=40,"Medium","Low"))</f>
        <v/>
      </c>
    </row>
    <row r="102">
      <c r="A102" s="2" t="inlineStr">
        <is>
          <t>EMP1102</t>
        </is>
      </c>
      <c r="B102" s="2" t="n">
        <v>31</v>
      </c>
      <c r="C102" s="2" t="inlineStr">
        <is>
          <t>M</t>
        </is>
      </c>
      <c r="D102" s="2" t="inlineStr">
        <is>
          <t>Sales</t>
        </is>
      </c>
      <c r="E102" s="2" t="inlineStr">
        <is>
          <t>Business Development Executive</t>
        </is>
      </c>
      <c r="F102" s="2" t="n">
        <v>7.3</v>
      </c>
      <c r="G102" s="3" t="n">
        <v>870000</v>
      </c>
      <c r="H102" s="2" t="n">
        <v>16</v>
      </c>
      <c r="I102" s="2" t="n">
        <v>3</v>
      </c>
      <c r="J102" s="2" t="inlineStr">
        <is>
          <t>No</t>
        </is>
      </c>
      <c r="K102" s="2" t="inlineStr">
        <is>
          <t>No</t>
        </is>
      </c>
      <c r="L102" s="3">
        <f>G102/12</f>
        <v/>
      </c>
      <c r="M102" s="2">
        <f>IF(F102&lt;=2,"0-2 yrs",IF(F102&lt;=5,"3-5 yrs",IF(F102&lt;=10,"6-10 yrs","10+ yrs")))</f>
        <v/>
      </c>
      <c r="N102" s="3">
        <f>MEDIANIFS($G$2:$G$201,$D$2:$D$201,D102)</f>
        <v/>
      </c>
      <c r="O102" s="2">
        <f>MIN(100,IF(F102&lt;=2,20,0)+IF(I102&lt;=2,25,0)+IF(G102&lt;N102,15,0)+IF(J102="Yes",20,0)+IF(H102&lt;5,10,0))</f>
        <v/>
      </c>
      <c r="P102" s="2">
        <f>IF(O102&gt;=70,"High",IF(O102&gt;=40,"Medium","Low"))</f>
        <v/>
      </c>
    </row>
    <row r="103">
      <c r="A103" s="2" t="inlineStr">
        <is>
          <t>EMP1103</t>
        </is>
      </c>
      <c r="B103" s="2" t="n">
        <v>28</v>
      </c>
      <c r="C103" s="2" t="inlineStr">
        <is>
          <t>F</t>
        </is>
      </c>
      <c r="D103" s="2" t="inlineStr">
        <is>
          <t>Marketing</t>
        </is>
      </c>
      <c r="E103" s="2" t="inlineStr">
        <is>
          <t>Digital Marketing Analyst</t>
        </is>
      </c>
      <c r="F103" s="2" t="n">
        <v>13.3</v>
      </c>
      <c r="G103" s="3" t="n">
        <v>405000</v>
      </c>
      <c r="H103" s="2" t="n">
        <v>0</v>
      </c>
      <c r="I103" s="2" t="n">
        <v>5</v>
      </c>
      <c r="J103" s="2" t="inlineStr">
        <is>
          <t>Yes</t>
        </is>
      </c>
      <c r="K103" s="2" t="inlineStr">
        <is>
          <t>Yes</t>
        </is>
      </c>
      <c r="L103" s="3">
        <f>G103/12</f>
        <v/>
      </c>
      <c r="M103" s="2">
        <f>IF(F103&lt;=2,"0-2 yrs",IF(F103&lt;=5,"3-5 yrs",IF(F103&lt;=10,"6-10 yrs","10+ yrs")))</f>
        <v/>
      </c>
      <c r="N103" s="3">
        <f>MEDIANIFS($G$2:$G$201,$D$2:$D$201,D103)</f>
        <v/>
      </c>
      <c r="O103" s="2">
        <f>MIN(100,IF(F103&lt;=2,20,0)+IF(I103&lt;=2,25,0)+IF(G103&lt;N103,15,0)+IF(J103="Yes",20,0)+IF(H103&lt;5,10,0))</f>
        <v/>
      </c>
      <c r="P103" s="2">
        <f>IF(O103&gt;=70,"High",IF(O103&gt;=40,"Medium","Low"))</f>
        <v/>
      </c>
    </row>
    <row r="104">
      <c r="A104" s="2" t="inlineStr">
        <is>
          <t>EMP1104</t>
        </is>
      </c>
      <c r="B104" s="2" t="n">
        <v>30</v>
      </c>
      <c r="C104" s="2" t="inlineStr">
        <is>
          <t>F</t>
        </is>
      </c>
      <c r="D104" s="2" t="inlineStr">
        <is>
          <t>IT</t>
        </is>
      </c>
      <c r="E104" s="2" t="inlineStr">
        <is>
          <t>IT Support</t>
        </is>
      </c>
      <c r="F104" s="2" t="n">
        <v>14</v>
      </c>
      <c r="G104" s="3" t="n">
        <v>525000</v>
      </c>
      <c r="H104" s="2" t="n">
        <v>9</v>
      </c>
      <c r="I104" s="2" t="n">
        <v>3</v>
      </c>
      <c r="J104" s="2" t="inlineStr">
        <is>
          <t>No</t>
        </is>
      </c>
      <c r="K104" s="2" t="inlineStr">
        <is>
          <t>No</t>
        </is>
      </c>
      <c r="L104" s="3">
        <f>G104/12</f>
        <v/>
      </c>
      <c r="M104" s="2">
        <f>IF(F104&lt;=2,"0-2 yrs",IF(F104&lt;=5,"3-5 yrs",IF(F104&lt;=10,"6-10 yrs","10+ yrs")))</f>
        <v/>
      </c>
      <c r="N104" s="3">
        <f>MEDIANIFS($G$2:$G$201,$D$2:$D$201,D104)</f>
        <v/>
      </c>
      <c r="O104" s="2">
        <f>MIN(100,IF(F104&lt;=2,20,0)+IF(I104&lt;=2,25,0)+IF(G104&lt;N104,15,0)+IF(J104="Yes",20,0)+IF(H104&lt;5,10,0))</f>
        <v/>
      </c>
      <c r="P104" s="2">
        <f>IF(O104&gt;=70,"High",IF(O104&gt;=40,"Medium","Low"))</f>
        <v/>
      </c>
    </row>
    <row r="105">
      <c r="A105" s="2" t="inlineStr">
        <is>
          <t>EMP1105</t>
        </is>
      </c>
      <c r="B105" s="2" t="n">
        <v>29</v>
      </c>
      <c r="C105" s="2" t="inlineStr">
        <is>
          <t>M</t>
        </is>
      </c>
      <c r="D105" s="2" t="inlineStr">
        <is>
          <t>HR</t>
        </is>
      </c>
      <c r="E105" s="2" t="inlineStr">
        <is>
          <t>HR Analyst</t>
        </is>
      </c>
      <c r="F105" s="2" t="n">
        <v>7.1</v>
      </c>
      <c r="G105" s="3" t="n">
        <v>425000</v>
      </c>
      <c r="H105" s="2" t="n">
        <v>10</v>
      </c>
      <c r="I105" s="2" t="n">
        <v>1</v>
      </c>
      <c r="J105" s="2" t="inlineStr">
        <is>
          <t>Yes</t>
        </is>
      </c>
      <c r="K105" s="2" t="inlineStr">
        <is>
          <t>No</t>
        </is>
      </c>
      <c r="L105" s="3">
        <f>G105/12</f>
        <v/>
      </c>
      <c r="M105" s="2">
        <f>IF(F105&lt;=2,"0-2 yrs",IF(F105&lt;=5,"3-5 yrs",IF(F105&lt;=10,"6-10 yrs","10+ yrs")))</f>
        <v/>
      </c>
      <c r="N105" s="3">
        <f>MEDIANIFS($G$2:$G$201,$D$2:$D$201,D105)</f>
        <v/>
      </c>
      <c r="O105" s="2">
        <f>MIN(100,IF(F105&lt;=2,20,0)+IF(I105&lt;=2,25,0)+IF(G105&lt;N105,15,0)+IF(J105="Yes",20,0)+IF(H105&lt;5,10,0))</f>
        <v/>
      </c>
      <c r="P105" s="2">
        <f>IF(O105&gt;=70,"High",IF(O105&gt;=40,"Medium","Low"))</f>
        <v/>
      </c>
    </row>
    <row r="106">
      <c r="A106" s="2" t="inlineStr">
        <is>
          <t>EMP1106</t>
        </is>
      </c>
      <c r="B106" s="2" t="n">
        <v>24</v>
      </c>
      <c r="C106" s="2" t="inlineStr">
        <is>
          <t>F</t>
        </is>
      </c>
      <c r="D106" s="2" t="inlineStr">
        <is>
          <t>IT</t>
        </is>
      </c>
      <c r="E106" s="2" t="inlineStr">
        <is>
          <t>Software Engineer</t>
        </is>
      </c>
      <c r="F106" s="2" t="n">
        <v>5.9</v>
      </c>
      <c r="G106" s="3" t="n">
        <v>800000</v>
      </c>
      <c r="H106" s="2" t="n">
        <v>23</v>
      </c>
      <c r="I106" s="2" t="n">
        <v>5</v>
      </c>
      <c r="J106" s="2" t="inlineStr">
        <is>
          <t>No</t>
        </is>
      </c>
      <c r="K106" s="2" t="inlineStr">
        <is>
          <t>No</t>
        </is>
      </c>
      <c r="L106" s="3">
        <f>G106/12</f>
        <v/>
      </c>
      <c r="M106" s="2">
        <f>IF(F106&lt;=2,"0-2 yrs",IF(F106&lt;=5,"3-5 yrs",IF(F106&lt;=10,"6-10 yrs","10+ yrs")))</f>
        <v/>
      </c>
      <c r="N106" s="3">
        <f>MEDIANIFS($G$2:$G$201,$D$2:$D$201,D106)</f>
        <v/>
      </c>
      <c r="O106" s="2">
        <f>MIN(100,IF(F106&lt;=2,20,0)+IF(I106&lt;=2,25,0)+IF(G106&lt;N106,15,0)+IF(J106="Yes",20,0)+IF(H106&lt;5,10,0))</f>
        <v/>
      </c>
      <c r="P106" s="2">
        <f>IF(O106&gt;=70,"High",IF(O106&gt;=40,"Medium","Low"))</f>
        <v/>
      </c>
    </row>
    <row r="107">
      <c r="A107" s="2" t="inlineStr">
        <is>
          <t>EMP1107</t>
        </is>
      </c>
      <c r="B107" s="2" t="n">
        <v>21</v>
      </c>
      <c r="C107" s="2" t="inlineStr">
        <is>
          <t>F</t>
        </is>
      </c>
      <c r="D107" s="2" t="inlineStr">
        <is>
          <t>Customer Support</t>
        </is>
      </c>
      <c r="E107" s="2" t="inlineStr">
        <is>
          <t>Support Analyst</t>
        </is>
      </c>
      <c r="F107" s="2" t="n">
        <v>14.8</v>
      </c>
      <c r="G107" s="3" t="n">
        <v>900000</v>
      </c>
      <c r="H107" s="2" t="n">
        <v>14</v>
      </c>
      <c r="I107" s="2" t="n">
        <v>2</v>
      </c>
      <c r="J107" s="2" t="inlineStr">
        <is>
          <t>No</t>
        </is>
      </c>
      <c r="K107" s="2" t="inlineStr">
        <is>
          <t>Yes</t>
        </is>
      </c>
      <c r="L107" s="3">
        <f>G107/12</f>
        <v/>
      </c>
      <c r="M107" s="2">
        <f>IF(F107&lt;=2,"0-2 yrs",IF(F107&lt;=5,"3-5 yrs",IF(F107&lt;=10,"6-10 yrs","10+ yrs")))</f>
        <v/>
      </c>
      <c r="N107" s="3">
        <f>MEDIANIFS($G$2:$G$201,$D$2:$D$201,D107)</f>
        <v/>
      </c>
      <c r="O107" s="2">
        <f>MIN(100,IF(F107&lt;=2,20,0)+IF(I107&lt;=2,25,0)+IF(G107&lt;N107,15,0)+IF(J107="Yes",20,0)+IF(H107&lt;5,10,0))</f>
        <v/>
      </c>
      <c r="P107" s="2">
        <f>IF(O107&gt;=70,"High",IF(O107&gt;=40,"Medium","Low"))</f>
        <v/>
      </c>
    </row>
    <row r="108">
      <c r="A108" s="2" t="inlineStr">
        <is>
          <t>EMP1108</t>
        </is>
      </c>
      <c r="B108" s="2" t="n">
        <v>33</v>
      </c>
      <c r="C108" s="2" t="inlineStr">
        <is>
          <t>F</t>
        </is>
      </c>
      <c r="D108" s="2" t="inlineStr">
        <is>
          <t>HR</t>
        </is>
      </c>
      <c r="E108" s="2" t="inlineStr">
        <is>
          <t>Recruiter</t>
        </is>
      </c>
      <c r="F108" s="2" t="n">
        <v>5.9</v>
      </c>
      <c r="G108" s="3" t="n">
        <v>760000</v>
      </c>
      <c r="H108" s="2" t="n">
        <v>32</v>
      </c>
      <c r="I108" s="2" t="n">
        <v>4</v>
      </c>
      <c r="J108" s="2" t="inlineStr">
        <is>
          <t>Yes</t>
        </is>
      </c>
      <c r="K108" s="2" t="inlineStr">
        <is>
          <t>No</t>
        </is>
      </c>
      <c r="L108" s="3">
        <f>G108/12</f>
        <v/>
      </c>
      <c r="M108" s="2">
        <f>IF(F108&lt;=2,"0-2 yrs",IF(F108&lt;=5,"3-5 yrs",IF(F108&lt;=10,"6-10 yrs","10+ yrs")))</f>
        <v/>
      </c>
      <c r="N108" s="3">
        <f>MEDIANIFS($G$2:$G$201,$D$2:$D$201,D108)</f>
        <v/>
      </c>
      <c r="O108" s="2">
        <f>MIN(100,IF(F108&lt;=2,20,0)+IF(I108&lt;=2,25,0)+IF(G108&lt;N108,15,0)+IF(J108="Yes",20,0)+IF(H108&lt;5,10,0))</f>
        <v/>
      </c>
      <c r="P108" s="2">
        <f>IF(O108&gt;=70,"High",IF(O108&gt;=40,"Medium","Low"))</f>
        <v/>
      </c>
    </row>
    <row r="109">
      <c r="A109" s="2" t="inlineStr">
        <is>
          <t>EMP1109</t>
        </is>
      </c>
      <c r="B109" s="2" t="n">
        <v>27</v>
      </c>
      <c r="C109" s="2" t="inlineStr">
        <is>
          <t>M</t>
        </is>
      </c>
      <c r="D109" s="2" t="inlineStr">
        <is>
          <t>Finance</t>
        </is>
      </c>
      <c r="E109" s="2" t="inlineStr">
        <is>
          <t>Accountant</t>
        </is>
      </c>
      <c r="F109" s="2" t="n">
        <v>3.5</v>
      </c>
      <c r="G109" s="3" t="n">
        <v>240000</v>
      </c>
      <c r="H109" s="2" t="n">
        <v>9</v>
      </c>
      <c r="I109" s="2" t="n">
        <v>3</v>
      </c>
      <c r="J109" s="2" t="inlineStr">
        <is>
          <t>No</t>
        </is>
      </c>
      <c r="K109" s="2" t="inlineStr">
        <is>
          <t>Yes</t>
        </is>
      </c>
      <c r="L109" s="3">
        <f>G109/12</f>
        <v/>
      </c>
      <c r="M109" s="2">
        <f>IF(F109&lt;=2,"0-2 yrs",IF(F109&lt;=5,"3-5 yrs",IF(F109&lt;=10,"6-10 yrs","10+ yrs")))</f>
        <v/>
      </c>
      <c r="N109" s="3">
        <f>MEDIANIFS($G$2:$G$201,$D$2:$D$201,D109)</f>
        <v/>
      </c>
      <c r="O109" s="2">
        <f>MIN(100,IF(F109&lt;=2,20,0)+IF(I109&lt;=2,25,0)+IF(G109&lt;N109,15,0)+IF(J109="Yes",20,0)+IF(H109&lt;5,10,0))</f>
        <v/>
      </c>
      <c r="P109" s="2">
        <f>IF(O109&gt;=70,"High",IF(O109&gt;=40,"Medium","Low"))</f>
        <v/>
      </c>
    </row>
    <row r="110">
      <c r="A110" s="2" t="inlineStr">
        <is>
          <t>EMP1110</t>
        </is>
      </c>
      <c r="B110" s="2" t="n">
        <v>34</v>
      </c>
      <c r="C110" s="2" t="inlineStr">
        <is>
          <t>F</t>
        </is>
      </c>
      <c r="D110" s="2" t="inlineStr">
        <is>
          <t>Operations</t>
        </is>
      </c>
      <c r="E110" s="2" t="inlineStr">
        <is>
          <t>Process Analyst</t>
        </is>
      </c>
      <c r="F110" s="2" t="n">
        <v>0.7</v>
      </c>
      <c r="G110" s="3" t="n">
        <v>605000</v>
      </c>
      <c r="H110" s="2" t="n">
        <v>0</v>
      </c>
      <c r="I110" s="2" t="n">
        <v>3</v>
      </c>
      <c r="J110" s="2" t="inlineStr">
        <is>
          <t>No</t>
        </is>
      </c>
      <c r="K110" s="2" t="inlineStr">
        <is>
          <t>No</t>
        </is>
      </c>
      <c r="L110" s="3">
        <f>G110/12</f>
        <v/>
      </c>
      <c r="M110" s="2">
        <f>IF(F110&lt;=2,"0-2 yrs",IF(F110&lt;=5,"3-5 yrs",IF(F110&lt;=10,"6-10 yrs","10+ yrs")))</f>
        <v/>
      </c>
      <c r="N110" s="3">
        <f>MEDIANIFS($G$2:$G$201,$D$2:$D$201,D110)</f>
        <v/>
      </c>
      <c r="O110" s="2">
        <f>MIN(100,IF(F110&lt;=2,20,0)+IF(I110&lt;=2,25,0)+IF(G110&lt;N110,15,0)+IF(J110="Yes",20,0)+IF(H110&lt;5,10,0))</f>
        <v/>
      </c>
      <c r="P110" s="2">
        <f>IF(O110&gt;=70,"High",IF(O110&gt;=40,"Medium","Low"))</f>
        <v/>
      </c>
    </row>
    <row r="111">
      <c r="A111" s="2" t="inlineStr">
        <is>
          <t>EMP1111</t>
        </is>
      </c>
      <c r="B111" s="2" t="n">
        <v>23</v>
      </c>
      <c r="C111" s="2" t="inlineStr">
        <is>
          <t>F</t>
        </is>
      </c>
      <c r="D111" s="2" t="inlineStr">
        <is>
          <t>HR</t>
        </is>
      </c>
      <c r="E111" s="2" t="inlineStr">
        <is>
          <t>HR Executive</t>
        </is>
      </c>
      <c r="F111" s="2" t="n">
        <v>3.5</v>
      </c>
      <c r="G111" s="3" t="n">
        <v>655000</v>
      </c>
      <c r="H111" s="2" t="n">
        <v>28</v>
      </c>
      <c r="I111" s="2" t="n">
        <v>5</v>
      </c>
      <c r="J111" s="2" t="inlineStr">
        <is>
          <t>No</t>
        </is>
      </c>
      <c r="K111" s="2" t="inlineStr">
        <is>
          <t>No</t>
        </is>
      </c>
      <c r="L111" s="3">
        <f>G111/12</f>
        <v/>
      </c>
      <c r="M111" s="2">
        <f>IF(F111&lt;=2,"0-2 yrs",IF(F111&lt;=5,"3-5 yrs",IF(F111&lt;=10,"6-10 yrs","10+ yrs")))</f>
        <v/>
      </c>
      <c r="N111" s="3">
        <f>MEDIANIFS($G$2:$G$201,$D$2:$D$201,D111)</f>
        <v/>
      </c>
      <c r="O111" s="2">
        <f>MIN(100,IF(F111&lt;=2,20,0)+IF(I111&lt;=2,25,0)+IF(G111&lt;N111,15,0)+IF(J111="Yes",20,0)+IF(H111&lt;5,10,0))</f>
        <v/>
      </c>
      <c r="P111" s="2">
        <f>IF(O111&gt;=70,"High",IF(O111&gt;=40,"Medium","Low"))</f>
        <v/>
      </c>
    </row>
    <row r="112">
      <c r="A112" s="2" t="inlineStr">
        <is>
          <t>EMP1112</t>
        </is>
      </c>
      <c r="B112" s="2" t="n">
        <v>31</v>
      </c>
      <c r="C112" s="2" t="inlineStr">
        <is>
          <t>F</t>
        </is>
      </c>
      <c r="D112" s="2" t="inlineStr">
        <is>
          <t>Sales</t>
        </is>
      </c>
      <c r="E112" s="2" t="inlineStr">
        <is>
          <t>Sales Executive</t>
        </is>
      </c>
      <c r="F112" s="2" t="n">
        <v>13</v>
      </c>
      <c r="G112" s="3" t="n">
        <v>1030000</v>
      </c>
      <c r="H112" s="2" t="n">
        <v>15</v>
      </c>
      <c r="I112" s="2" t="n">
        <v>3</v>
      </c>
      <c r="J112" s="2" t="inlineStr">
        <is>
          <t>Yes</t>
        </is>
      </c>
      <c r="K112" s="2" t="inlineStr">
        <is>
          <t>No</t>
        </is>
      </c>
      <c r="L112" s="3">
        <f>G112/12</f>
        <v/>
      </c>
      <c r="M112" s="2">
        <f>IF(F112&lt;=2,"0-2 yrs",IF(F112&lt;=5,"3-5 yrs",IF(F112&lt;=10,"6-10 yrs","10+ yrs")))</f>
        <v/>
      </c>
      <c r="N112" s="3">
        <f>MEDIANIFS($G$2:$G$201,$D$2:$D$201,D112)</f>
        <v/>
      </c>
      <c r="O112" s="2">
        <f>MIN(100,IF(F112&lt;=2,20,0)+IF(I112&lt;=2,25,0)+IF(G112&lt;N112,15,0)+IF(J112="Yes",20,0)+IF(H112&lt;5,10,0))</f>
        <v/>
      </c>
      <c r="P112" s="2">
        <f>IF(O112&gt;=70,"High",IF(O112&gt;=40,"Medium","Low"))</f>
        <v/>
      </c>
    </row>
    <row r="113">
      <c r="A113" s="2" t="inlineStr">
        <is>
          <t>EMP1113</t>
        </is>
      </c>
      <c r="B113" s="2" t="n">
        <v>29</v>
      </c>
      <c r="C113" s="2" t="inlineStr">
        <is>
          <t>M</t>
        </is>
      </c>
      <c r="D113" s="2" t="inlineStr">
        <is>
          <t>Finance</t>
        </is>
      </c>
      <c r="E113" s="2" t="inlineStr">
        <is>
          <t>Accountant</t>
        </is>
      </c>
      <c r="F113" s="2" t="n">
        <v>10.5</v>
      </c>
      <c r="G113" s="3" t="n">
        <v>565000</v>
      </c>
      <c r="H113" s="2" t="n">
        <v>9</v>
      </c>
      <c r="I113" s="2" t="n">
        <v>4</v>
      </c>
      <c r="J113" s="2" t="inlineStr">
        <is>
          <t>Yes</t>
        </is>
      </c>
      <c r="K113" s="2" t="inlineStr">
        <is>
          <t>No</t>
        </is>
      </c>
      <c r="L113" s="3">
        <f>G113/12</f>
        <v/>
      </c>
      <c r="M113" s="2">
        <f>IF(F113&lt;=2,"0-2 yrs",IF(F113&lt;=5,"3-5 yrs",IF(F113&lt;=10,"6-10 yrs","10+ yrs")))</f>
        <v/>
      </c>
      <c r="N113" s="3">
        <f>MEDIANIFS($G$2:$G$201,$D$2:$D$201,D113)</f>
        <v/>
      </c>
      <c r="O113" s="2">
        <f>MIN(100,IF(F113&lt;=2,20,0)+IF(I113&lt;=2,25,0)+IF(G113&lt;N113,15,0)+IF(J113="Yes",20,0)+IF(H113&lt;5,10,0))</f>
        <v/>
      </c>
      <c r="P113" s="2">
        <f>IF(O113&gt;=70,"High",IF(O113&gt;=40,"Medium","Low"))</f>
        <v/>
      </c>
    </row>
    <row r="114">
      <c r="A114" s="2" t="inlineStr">
        <is>
          <t>EMP1114</t>
        </is>
      </c>
      <c r="B114" s="2" t="n">
        <v>32</v>
      </c>
      <c r="C114" s="2" t="inlineStr">
        <is>
          <t>F</t>
        </is>
      </c>
      <c r="D114" s="2" t="inlineStr">
        <is>
          <t>Operations</t>
        </is>
      </c>
      <c r="E114" s="2" t="inlineStr">
        <is>
          <t>Operations Manager</t>
        </is>
      </c>
      <c r="F114" s="2" t="n">
        <v>7.7</v>
      </c>
      <c r="G114" s="3" t="n">
        <v>660000</v>
      </c>
      <c r="H114" s="2" t="n">
        <v>15</v>
      </c>
      <c r="I114" s="2" t="n">
        <v>3</v>
      </c>
      <c r="J114" s="2" t="inlineStr">
        <is>
          <t>Yes</t>
        </is>
      </c>
      <c r="K114" s="2" t="inlineStr">
        <is>
          <t>No</t>
        </is>
      </c>
      <c r="L114" s="3">
        <f>G114/12</f>
        <v/>
      </c>
      <c r="M114" s="2">
        <f>IF(F114&lt;=2,"0-2 yrs",IF(F114&lt;=5,"3-5 yrs",IF(F114&lt;=10,"6-10 yrs","10+ yrs")))</f>
        <v/>
      </c>
      <c r="N114" s="3">
        <f>MEDIANIFS($G$2:$G$201,$D$2:$D$201,D114)</f>
        <v/>
      </c>
      <c r="O114" s="2">
        <f>MIN(100,IF(F114&lt;=2,20,0)+IF(I114&lt;=2,25,0)+IF(G114&lt;N114,15,0)+IF(J114="Yes",20,0)+IF(H114&lt;5,10,0))</f>
        <v/>
      </c>
      <c r="P114" s="2">
        <f>IF(O114&gt;=70,"High",IF(O114&gt;=40,"Medium","Low"))</f>
        <v/>
      </c>
    </row>
    <row r="115">
      <c r="A115" s="2" t="inlineStr">
        <is>
          <t>EMP1115</t>
        </is>
      </c>
      <c r="B115" s="2" t="n">
        <v>32</v>
      </c>
      <c r="C115" s="2" t="inlineStr">
        <is>
          <t>M</t>
        </is>
      </c>
      <c r="D115" s="2" t="inlineStr">
        <is>
          <t>Operations</t>
        </is>
      </c>
      <c r="E115" s="2" t="inlineStr">
        <is>
          <t>Operations Executive</t>
        </is>
      </c>
      <c r="F115" s="2" t="n">
        <v>6</v>
      </c>
      <c r="G115" s="3" t="n">
        <v>550000</v>
      </c>
      <c r="H115" s="2" t="n">
        <v>19</v>
      </c>
      <c r="I115" s="2" t="n">
        <v>3</v>
      </c>
      <c r="J115" s="2" t="inlineStr">
        <is>
          <t>No</t>
        </is>
      </c>
      <c r="K115" s="2" t="inlineStr">
        <is>
          <t>No</t>
        </is>
      </c>
      <c r="L115" s="3">
        <f>G115/12</f>
        <v/>
      </c>
      <c r="M115" s="2">
        <f>IF(F115&lt;=2,"0-2 yrs",IF(F115&lt;=5,"3-5 yrs",IF(F115&lt;=10,"6-10 yrs","10+ yrs")))</f>
        <v/>
      </c>
      <c r="N115" s="3">
        <f>MEDIANIFS($G$2:$G$201,$D$2:$D$201,D115)</f>
        <v/>
      </c>
      <c r="O115" s="2">
        <f>MIN(100,IF(F115&lt;=2,20,0)+IF(I115&lt;=2,25,0)+IF(G115&lt;N115,15,0)+IF(J115="Yes",20,0)+IF(H115&lt;5,10,0))</f>
        <v/>
      </c>
      <c r="P115" s="2">
        <f>IF(O115&gt;=70,"High",IF(O115&gt;=40,"Medium","Low"))</f>
        <v/>
      </c>
    </row>
    <row r="116">
      <c r="A116" s="2" t="inlineStr">
        <is>
          <t>EMP1116</t>
        </is>
      </c>
      <c r="B116" s="2" t="n">
        <v>28</v>
      </c>
      <c r="C116" s="2" t="inlineStr">
        <is>
          <t>F</t>
        </is>
      </c>
      <c r="D116" s="2" t="inlineStr">
        <is>
          <t>Sales</t>
        </is>
      </c>
      <c r="E116" s="2" t="inlineStr">
        <is>
          <t>Business Development Executive</t>
        </is>
      </c>
      <c r="F116" s="2" t="n">
        <v>5.3</v>
      </c>
      <c r="G116" s="3" t="n">
        <v>675000</v>
      </c>
      <c r="H116" s="2" t="n">
        <v>21</v>
      </c>
      <c r="I116" s="2" t="n">
        <v>1</v>
      </c>
      <c r="J116" s="2" t="inlineStr">
        <is>
          <t>Yes</t>
        </is>
      </c>
      <c r="K116" s="2" t="inlineStr">
        <is>
          <t>No</t>
        </is>
      </c>
      <c r="L116" s="3">
        <f>G116/12</f>
        <v/>
      </c>
      <c r="M116" s="2">
        <f>IF(F116&lt;=2,"0-2 yrs",IF(F116&lt;=5,"3-5 yrs",IF(F116&lt;=10,"6-10 yrs","10+ yrs")))</f>
        <v/>
      </c>
      <c r="N116" s="3">
        <f>MEDIANIFS($G$2:$G$201,$D$2:$D$201,D116)</f>
        <v/>
      </c>
      <c r="O116" s="2">
        <f>MIN(100,IF(F116&lt;=2,20,0)+IF(I116&lt;=2,25,0)+IF(G116&lt;N116,15,0)+IF(J116="Yes",20,0)+IF(H116&lt;5,10,0))</f>
        <v/>
      </c>
      <c r="P116" s="2">
        <f>IF(O116&gt;=70,"High",IF(O116&gt;=40,"Medium","Low"))</f>
        <v/>
      </c>
    </row>
    <row r="117">
      <c r="A117" s="2" t="inlineStr">
        <is>
          <t>EMP1117</t>
        </is>
      </c>
      <c r="B117" s="2" t="n">
        <v>27</v>
      </c>
      <c r="C117" s="2" t="inlineStr">
        <is>
          <t>F</t>
        </is>
      </c>
      <c r="D117" s="2" t="inlineStr">
        <is>
          <t>Sales</t>
        </is>
      </c>
      <c r="E117" s="2" t="inlineStr">
        <is>
          <t>Sales Manager</t>
        </is>
      </c>
      <c r="F117" s="2" t="n">
        <v>11.6</v>
      </c>
      <c r="G117" s="3" t="n">
        <v>625000</v>
      </c>
      <c r="H117" s="2" t="n">
        <v>5</v>
      </c>
      <c r="I117" s="2" t="n">
        <v>5</v>
      </c>
      <c r="J117" s="2" t="inlineStr">
        <is>
          <t>Yes</t>
        </is>
      </c>
      <c r="K117" s="2" t="inlineStr">
        <is>
          <t>No</t>
        </is>
      </c>
      <c r="L117" s="3">
        <f>G117/12</f>
        <v/>
      </c>
      <c r="M117" s="2">
        <f>IF(F117&lt;=2,"0-2 yrs",IF(F117&lt;=5,"3-5 yrs",IF(F117&lt;=10,"6-10 yrs","10+ yrs")))</f>
        <v/>
      </c>
      <c r="N117" s="3">
        <f>MEDIANIFS($G$2:$G$201,$D$2:$D$201,D117)</f>
        <v/>
      </c>
      <c r="O117" s="2">
        <f>MIN(100,IF(F117&lt;=2,20,0)+IF(I117&lt;=2,25,0)+IF(G117&lt;N117,15,0)+IF(J117="Yes",20,0)+IF(H117&lt;5,10,0))</f>
        <v/>
      </c>
      <c r="P117" s="2">
        <f>IF(O117&gt;=70,"High",IF(O117&gt;=40,"Medium","Low"))</f>
        <v/>
      </c>
    </row>
    <row r="118">
      <c r="A118" s="2" t="inlineStr">
        <is>
          <t>EMP1118</t>
        </is>
      </c>
      <c r="B118" s="2" t="n">
        <v>36</v>
      </c>
      <c r="C118" s="2" t="inlineStr">
        <is>
          <t>F</t>
        </is>
      </c>
      <c r="D118" s="2" t="inlineStr">
        <is>
          <t>Sales</t>
        </is>
      </c>
      <c r="E118" s="2" t="inlineStr">
        <is>
          <t>Sales Manager</t>
        </is>
      </c>
      <c r="F118" s="2" t="n">
        <v>12.4</v>
      </c>
      <c r="G118" s="3" t="n">
        <v>540000</v>
      </c>
      <c r="H118" s="2" t="n">
        <v>22</v>
      </c>
      <c r="I118" s="2" t="n">
        <v>4</v>
      </c>
      <c r="J118" s="2" t="inlineStr">
        <is>
          <t>No</t>
        </is>
      </c>
      <c r="K118" s="2" t="inlineStr">
        <is>
          <t>No</t>
        </is>
      </c>
      <c r="L118" s="3">
        <f>G118/12</f>
        <v/>
      </c>
      <c r="M118" s="2">
        <f>IF(F118&lt;=2,"0-2 yrs",IF(F118&lt;=5,"3-5 yrs",IF(F118&lt;=10,"6-10 yrs","10+ yrs")))</f>
        <v/>
      </c>
      <c r="N118" s="3">
        <f>MEDIANIFS($G$2:$G$201,$D$2:$D$201,D118)</f>
        <v/>
      </c>
      <c r="O118" s="2">
        <f>MIN(100,IF(F118&lt;=2,20,0)+IF(I118&lt;=2,25,0)+IF(G118&lt;N118,15,0)+IF(J118="Yes",20,0)+IF(H118&lt;5,10,0))</f>
        <v/>
      </c>
      <c r="P118" s="2">
        <f>IF(O118&gt;=70,"High",IF(O118&gt;=40,"Medium","Low"))</f>
        <v/>
      </c>
    </row>
    <row r="119">
      <c r="A119" s="2" t="inlineStr">
        <is>
          <t>EMP1119</t>
        </is>
      </c>
      <c r="B119" s="2" t="n">
        <v>32</v>
      </c>
      <c r="C119" s="2" t="inlineStr">
        <is>
          <t>M</t>
        </is>
      </c>
      <c r="D119" s="2" t="inlineStr">
        <is>
          <t>IT</t>
        </is>
      </c>
      <c r="E119" s="2" t="inlineStr">
        <is>
          <t>Data Analyst</t>
        </is>
      </c>
      <c r="F119" s="2" t="n">
        <v>4.8</v>
      </c>
      <c r="G119" s="3" t="n">
        <v>490000</v>
      </c>
      <c r="H119" s="2" t="n">
        <v>11</v>
      </c>
      <c r="I119" s="2" t="n">
        <v>1</v>
      </c>
      <c r="J119" s="2" t="inlineStr">
        <is>
          <t>No</t>
        </is>
      </c>
      <c r="K119" s="2" t="inlineStr">
        <is>
          <t>No</t>
        </is>
      </c>
      <c r="L119" s="3">
        <f>G119/12</f>
        <v/>
      </c>
      <c r="M119" s="2">
        <f>IF(F119&lt;=2,"0-2 yrs",IF(F119&lt;=5,"3-5 yrs",IF(F119&lt;=10,"6-10 yrs","10+ yrs")))</f>
        <v/>
      </c>
      <c r="N119" s="3">
        <f>MEDIANIFS($G$2:$G$201,$D$2:$D$201,D119)</f>
        <v/>
      </c>
      <c r="O119" s="2">
        <f>MIN(100,IF(F119&lt;=2,20,0)+IF(I119&lt;=2,25,0)+IF(G119&lt;N119,15,0)+IF(J119="Yes",20,0)+IF(H119&lt;5,10,0))</f>
        <v/>
      </c>
      <c r="P119" s="2">
        <f>IF(O119&gt;=70,"High",IF(O119&gt;=40,"Medium","Low"))</f>
        <v/>
      </c>
    </row>
    <row r="120">
      <c r="A120" s="2" t="inlineStr">
        <is>
          <t>EMP1120</t>
        </is>
      </c>
      <c r="B120" s="2" t="n">
        <v>33</v>
      </c>
      <c r="C120" s="2" t="inlineStr">
        <is>
          <t>F</t>
        </is>
      </c>
      <c r="D120" s="2" t="inlineStr">
        <is>
          <t>Operations</t>
        </is>
      </c>
      <c r="E120" s="2" t="inlineStr">
        <is>
          <t>Process Analyst</t>
        </is>
      </c>
      <c r="F120" s="2" t="n">
        <v>7.2</v>
      </c>
      <c r="G120" s="3" t="n">
        <v>750000</v>
      </c>
      <c r="H120" s="2" t="n">
        <v>14</v>
      </c>
      <c r="I120" s="2" t="n">
        <v>4</v>
      </c>
      <c r="J120" s="2" t="inlineStr">
        <is>
          <t>Yes</t>
        </is>
      </c>
      <c r="K120" s="2" t="inlineStr">
        <is>
          <t>No</t>
        </is>
      </c>
      <c r="L120" s="3">
        <f>G120/12</f>
        <v/>
      </c>
      <c r="M120" s="2">
        <f>IF(F120&lt;=2,"0-2 yrs",IF(F120&lt;=5,"3-5 yrs",IF(F120&lt;=10,"6-10 yrs","10+ yrs")))</f>
        <v/>
      </c>
      <c r="N120" s="3">
        <f>MEDIANIFS($G$2:$G$201,$D$2:$D$201,D120)</f>
        <v/>
      </c>
      <c r="O120" s="2">
        <f>MIN(100,IF(F120&lt;=2,20,0)+IF(I120&lt;=2,25,0)+IF(G120&lt;N120,15,0)+IF(J120="Yes",20,0)+IF(H120&lt;5,10,0))</f>
        <v/>
      </c>
      <c r="P120" s="2">
        <f>IF(O120&gt;=70,"High",IF(O120&gt;=40,"Medium","Low"))</f>
        <v/>
      </c>
    </row>
    <row r="121">
      <c r="A121" s="2" t="inlineStr">
        <is>
          <t>EMP1121</t>
        </is>
      </c>
      <c r="B121" s="2" t="n">
        <v>31</v>
      </c>
      <c r="C121" s="2" t="inlineStr">
        <is>
          <t>M</t>
        </is>
      </c>
      <c r="D121" s="2" t="inlineStr">
        <is>
          <t>Customer Support</t>
        </is>
      </c>
      <c r="E121" s="2" t="inlineStr">
        <is>
          <t>Customer Success Associate</t>
        </is>
      </c>
      <c r="F121" s="2" t="n">
        <v>2.9</v>
      </c>
      <c r="G121" s="3" t="n">
        <v>500000</v>
      </c>
      <c r="H121" s="2" t="n">
        <v>36</v>
      </c>
      <c r="I121" s="2" t="n">
        <v>2</v>
      </c>
      <c r="J121" s="2" t="inlineStr">
        <is>
          <t>No</t>
        </is>
      </c>
      <c r="K121" s="2" t="inlineStr">
        <is>
          <t>Yes</t>
        </is>
      </c>
      <c r="L121" s="3">
        <f>G121/12</f>
        <v/>
      </c>
      <c r="M121" s="2">
        <f>IF(F121&lt;=2,"0-2 yrs",IF(F121&lt;=5,"3-5 yrs",IF(F121&lt;=10,"6-10 yrs","10+ yrs")))</f>
        <v/>
      </c>
      <c r="N121" s="3">
        <f>MEDIANIFS($G$2:$G$201,$D$2:$D$201,D121)</f>
        <v/>
      </c>
      <c r="O121" s="2">
        <f>MIN(100,IF(F121&lt;=2,20,0)+IF(I121&lt;=2,25,0)+IF(G121&lt;N121,15,0)+IF(J121="Yes",20,0)+IF(H121&lt;5,10,0))</f>
        <v/>
      </c>
      <c r="P121" s="2">
        <f>IF(O121&gt;=70,"High",IF(O121&gt;=40,"Medium","Low"))</f>
        <v/>
      </c>
    </row>
    <row r="122">
      <c r="A122" s="2" t="inlineStr">
        <is>
          <t>EMP1122</t>
        </is>
      </c>
      <c r="B122" s="2" t="n">
        <v>27</v>
      </c>
      <c r="C122" s="2" t="inlineStr">
        <is>
          <t>M</t>
        </is>
      </c>
      <c r="D122" s="2" t="inlineStr">
        <is>
          <t>Sales</t>
        </is>
      </c>
      <c r="E122" s="2" t="inlineStr">
        <is>
          <t>Sales Executive</t>
        </is>
      </c>
      <c r="F122" s="2" t="n">
        <v>4.2</v>
      </c>
      <c r="G122" s="3" t="n">
        <v>865000</v>
      </c>
      <c r="H122" s="2" t="n">
        <v>16</v>
      </c>
      <c r="I122" s="2" t="n">
        <v>3</v>
      </c>
      <c r="J122" s="2" t="inlineStr">
        <is>
          <t>No</t>
        </is>
      </c>
      <c r="K122" s="2" t="inlineStr">
        <is>
          <t>No</t>
        </is>
      </c>
      <c r="L122" s="3">
        <f>G122/12</f>
        <v/>
      </c>
      <c r="M122" s="2">
        <f>IF(F122&lt;=2,"0-2 yrs",IF(F122&lt;=5,"3-5 yrs",IF(F122&lt;=10,"6-10 yrs","10+ yrs")))</f>
        <v/>
      </c>
      <c r="N122" s="3">
        <f>MEDIANIFS($G$2:$G$201,$D$2:$D$201,D122)</f>
        <v/>
      </c>
      <c r="O122" s="2">
        <f>MIN(100,IF(F122&lt;=2,20,0)+IF(I122&lt;=2,25,0)+IF(G122&lt;N122,15,0)+IF(J122="Yes",20,0)+IF(H122&lt;5,10,0))</f>
        <v/>
      </c>
      <c r="P122" s="2">
        <f>IF(O122&gt;=70,"High",IF(O122&gt;=40,"Medium","Low"))</f>
        <v/>
      </c>
    </row>
    <row r="123">
      <c r="A123" s="2" t="inlineStr">
        <is>
          <t>EMP1123</t>
        </is>
      </c>
      <c r="B123" s="2" t="n">
        <v>26</v>
      </c>
      <c r="C123" s="2" t="inlineStr">
        <is>
          <t>F</t>
        </is>
      </c>
      <c r="D123" s="2" t="inlineStr">
        <is>
          <t>Marketing</t>
        </is>
      </c>
      <c r="E123" s="2" t="inlineStr">
        <is>
          <t>Brand Executive</t>
        </is>
      </c>
      <c r="F123" s="2" t="n">
        <v>12.9</v>
      </c>
      <c r="G123" s="3" t="n">
        <v>435000</v>
      </c>
      <c r="H123" s="2" t="n">
        <v>17</v>
      </c>
      <c r="I123" s="2" t="n">
        <v>2</v>
      </c>
      <c r="J123" s="2" t="inlineStr">
        <is>
          <t>No</t>
        </is>
      </c>
      <c r="K123" s="2" t="inlineStr">
        <is>
          <t>Yes</t>
        </is>
      </c>
      <c r="L123" s="3">
        <f>G123/12</f>
        <v/>
      </c>
      <c r="M123" s="2">
        <f>IF(F123&lt;=2,"0-2 yrs",IF(F123&lt;=5,"3-5 yrs",IF(F123&lt;=10,"6-10 yrs","10+ yrs")))</f>
        <v/>
      </c>
      <c r="N123" s="3">
        <f>MEDIANIFS($G$2:$G$201,$D$2:$D$201,D123)</f>
        <v/>
      </c>
      <c r="O123" s="2">
        <f>MIN(100,IF(F123&lt;=2,20,0)+IF(I123&lt;=2,25,0)+IF(G123&lt;N123,15,0)+IF(J123="Yes",20,0)+IF(H123&lt;5,10,0))</f>
        <v/>
      </c>
      <c r="P123" s="2">
        <f>IF(O123&gt;=70,"High",IF(O123&gt;=40,"Medium","Low"))</f>
        <v/>
      </c>
    </row>
    <row r="124">
      <c r="A124" s="2" t="inlineStr">
        <is>
          <t>EMP1124</t>
        </is>
      </c>
      <c r="B124" s="2" t="n">
        <v>34</v>
      </c>
      <c r="C124" s="2" t="inlineStr">
        <is>
          <t>M</t>
        </is>
      </c>
      <c r="D124" s="2" t="inlineStr">
        <is>
          <t>Sales</t>
        </is>
      </c>
      <c r="E124" s="2" t="inlineStr">
        <is>
          <t>Sales Executive</t>
        </is>
      </c>
      <c r="F124" s="2" t="n">
        <v>9.300000000000001</v>
      </c>
      <c r="G124" s="3" t="n">
        <v>1040000</v>
      </c>
      <c r="H124" s="2" t="n">
        <v>9</v>
      </c>
      <c r="I124" s="2" t="n">
        <v>3</v>
      </c>
      <c r="J124" s="2" t="inlineStr">
        <is>
          <t>Yes</t>
        </is>
      </c>
      <c r="K124" s="2" t="inlineStr">
        <is>
          <t>Yes</t>
        </is>
      </c>
      <c r="L124" s="3">
        <f>G124/12</f>
        <v/>
      </c>
      <c r="M124" s="2">
        <f>IF(F124&lt;=2,"0-2 yrs",IF(F124&lt;=5,"3-5 yrs",IF(F124&lt;=10,"6-10 yrs","10+ yrs")))</f>
        <v/>
      </c>
      <c r="N124" s="3">
        <f>MEDIANIFS($G$2:$G$201,$D$2:$D$201,D124)</f>
        <v/>
      </c>
      <c r="O124" s="2">
        <f>MIN(100,IF(F124&lt;=2,20,0)+IF(I124&lt;=2,25,0)+IF(G124&lt;N124,15,0)+IF(J124="Yes",20,0)+IF(H124&lt;5,10,0))</f>
        <v/>
      </c>
      <c r="P124" s="2">
        <f>IF(O124&gt;=70,"High",IF(O124&gt;=40,"Medium","Low"))</f>
        <v/>
      </c>
    </row>
    <row r="125">
      <c r="A125" s="2" t="inlineStr">
        <is>
          <t>EMP1125</t>
        </is>
      </c>
      <c r="B125" s="2" t="n">
        <v>31</v>
      </c>
      <c r="C125" s="2" t="inlineStr">
        <is>
          <t>F</t>
        </is>
      </c>
      <c r="D125" s="2" t="inlineStr">
        <is>
          <t>IT</t>
        </is>
      </c>
      <c r="E125" s="2" t="inlineStr">
        <is>
          <t>Data Analyst</t>
        </is>
      </c>
      <c r="F125" s="2" t="n">
        <v>2.2</v>
      </c>
      <c r="G125" s="3" t="n">
        <v>850000</v>
      </c>
      <c r="H125" s="2" t="n">
        <v>23</v>
      </c>
      <c r="I125" s="2" t="n">
        <v>1</v>
      </c>
      <c r="J125" s="2" t="inlineStr">
        <is>
          <t>No</t>
        </is>
      </c>
      <c r="K125" s="2" t="inlineStr">
        <is>
          <t>No</t>
        </is>
      </c>
      <c r="L125" s="3">
        <f>G125/12</f>
        <v/>
      </c>
      <c r="M125" s="2">
        <f>IF(F125&lt;=2,"0-2 yrs",IF(F125&lt;=5,"3-5 yrs",IF(F125&lt;=10,"6-10 yrs","10+ yrs")))</f>
        <v/>
      </c>
      <c r="N125" s="3">
        <f>MEDIANIFS($G$2:$G$201,$D$2:$D$201,D125)</f>
        <v/>
      </c>
      <c r="O125" s="2">
        <f>MIN(100,IF(F125&lt;=2,20,0)+IF(I125&lt;=2,25,0)+IF(G125&lt;N125,15,0)+IF(J125="Yes",20,0)+IF(H125&lt;5,10,0))</f>
        <v/>
      </c>
      <c r="P125" s="2">
        <f>IF(O125&gt;=70,"High",IF(O125&gt;=40,"Medium","Low"))</f>
        <v/>
      </c>
    </row>
    <row r="126">
      <c r="A126" s="2" t="inlineStr">
        <is>
          <t>EMP1126</t>
        </is>
      </c>
      <c r="B126" s="2" t="n">
        <v>41</v>
      </c>
      <c r="C126" s="2" t="inlineStr">
        <is>
          <t>F</t>
        </is>
      </c>
      <c r="D126" s="2" t="inlineStr">
        <is>
          <t>Finance</t>
        </is>
      </c>
      <c r="E126" s="2" t="inlineStr">
        <is>
          <t>Accountant</t>
        </is>
      </c>
      <c r="F126" s="2" t="n">
        <v>13.5</v>
      </c>
      <c r="G126" s="3" t="n">
        <v>950000</v>
      </c>
      <c r="H126" s="2" t="n">
        <v>24</v>
      </c>
      <c r="I126" s="2" t="n">
        <v>4</v>
      </c>
      <c r="J126" s="2" t="inlineStr">
        <is>
          <t>No</t>
        </is>
      </c>
      <c r="K126" s="2" t="inlineStr">
        <is>
          <t>No</t>
        </is>
      </c>
      <c r="L126" s="3">
        <f>G126/12</f>
        <v/>
      </c>
      <c r="M126" s="2">
        <f>IF(F126&lt;=2,"0-2 yrs",IF(F126&lt;=5,"3-5 yrs",IF(F126&lt;=10,"6-10 yrs","10+ yrs")))</f>
        <v/>
      </c>
      <c r="N126" s="3">
        <f>MEDIANIFS($G$2:$G$201,$D$2:$D$201,D126)</f>
        <v/>
      </c>
      <c r="O126" s="2">
        <f>MIN(100,IF(F126&lt;=2,20,0)+IF(I126&lt;=2,25,0)+IF(G126&lt;N126,15,0)+IF(J126="Yes",20,0)+IF(H126&lt;5,10,0))</f>
        <v/>
      </c>
      <c r="P126" s="2">
        <f>IF(O126&gt;=70,"High",IF(O126&gt;=40,"Medium","Low"))</f>
        <v/>
      </c>
    </row>
    <row r="127">
      <c r="A127" s="2" t="inlineStr">
        <is>
          <t>EMP1127</t>
        </is>
      </c>
      <c r="B127" s="2" t="n">
        <v>33</v>
      </c>
      <c r="C127" s="2" t="inlineStr">
        <is>
          <t>F</t>
        </is>
      </c>
      <c r="D127" s="2" t="inlineStr">
        <is>
          <t>Operations</t>
        </is>
      </c>
      <c r="E127" s="2" t="inlineStr">
        <is>
          <t>Process Analyst</t>
        </is>
      </c>
      <c r="F127" s="2" t="n">
        <v>1.4</v>
      </c>
      <c r="G127" s="3" t="n">
        <v>605000</v>
      </c>
      <c r="H127" s="2" t="n">
        <v>31</v>
      </c>
      <c r="I127" s="2" t="n">
        <v>4</v>
      </c>
      <c r="J127" s="2" t="inlineStr">
        <is>
          <t>No</t>
        </is>
      </c>
      <c r="K127" s="2" t="inlineStr">
        <is>
          <t>No</t>
        </is>
      </c>
      <c r="L127" s="3">
        <f>G127/12</f>
        <v/>
      </c>
      <c r="M127" s="2">
        <f>IF(F127&lt;=2,"0-2 yrs",IF(F127&lt;=5,"3-5 yrs",IF(F127&lt;=10,"6-10 yrs","10+ yrs")))</f>
        <v/>
      </c>
      <c r="N127" s="3">
        <f>MEDIANIFS($G$2:$G$201,$D$2:$D$201,D127)</f>
        <v/>
      </c>
      <c r="O127" s="2">
        <f>MIN(100,IF(F127&lt;=2,20,0)+IF(I127&lt;=2,25,0)+IF(G127&lt;N127,15,0)+IF(J127="Yes",20,0)+IF(H127&lt;5,10,0))</f>
        <v/>
      </c>
      <c r="P127" s="2">
        <f>IF(O127&gt;=70,"High",IF(O127&gt;=40,"Medium","Low"))</f>
        <v/>
      </c>
    </row>
    <row r="128">
      <c r="A128" s="2" t="inlineStr">
        <is>
          <t>EMP1128</t>
        </is>
      </c>
      <c r="B128" s="2" t="n">
        <v>27</v>
      </c>
      <c r="C128" s="2" t="inlineStr">
        <is>
          <t>F</t>
        </is>
      </c>
      <c r="D128" s="2" t="inlineStr">
        <is>
          <t>HR</t>
        </is>
      </c>
      <c r="E128" s="2" t="inlineStr">
        <is>
          <t>HR Analyst</t>
        </is>
      </c>
      <c r="F128" s="2" t="n">
        <v>1.1</v>
      </c>
      <c r="G128" s="3" t="n">
        <v>540000</v>
      </c>
      <c r="H128" s="2" t="n">
        <v>14</v>
      </c>
      <c r="I128" s="2" t="n">
        <v>4</v>
      </c>
      <c r="J128" s="2" t="inlineStr">
        <is>
          <t>No</t>
        </is>
      </c>
      <c r="K128" s="2" t="inlineStr">
        <is>
          <t>No</t>
        </is>
      </c>
      <c r="L128" s="3">
        <f>G128/12</f>
        <v/>
      </c>
      <c r="M128" s="2">
        <f>IF(F128&lt;=2,"0-2 yrs",IF(F128&lt;=5,"3-5 yrs",IF(F128&lt;=10,"6-10 yrs","10+ yrs")))</f>
        <v/>
      </c>
      <c r="N128" s="3">
        <f>MEDIANIFS($G$2:$G$201,$D$2:$D$201,D128)</f>
        <v/>
      </c>
      <c r="O128" s="2">
        <f>MIN(100,IF(F128&lt;=2,20,0)+IF(I128&lt;=2,25,0)+IF(G128&lt;N128,15,0)+IF(J128="Yes",20,0)+IF(H128&lt;5,10,0))</f>
        <v/>
      </c>
      <c r="P128" s="2">
        <f>IF(O128&gt;=70,"High",IF(O128&gt;=40,"Medium","Low"))</f>
        <v/>
      </c>
    </row>
    <row r="129">
      <c r="A129" s="2" t="inlineStr">
        <is>
          <t>EMP1129</t>
        </is>
      </c>
      <c r="B129" s="2" t="n">
        <v>21</v>
      </c>
      <c r="C129" s="2" t="inlineStr">
        <is>
          <t>M</t>
        </is>
      </c>
      <c r="D129" s="2" t="inlineStr">
        <is>
          <t>HR</t>
        </is>
      </c>
      <c r="E129" s="2" t="inlineStr">
        <is>
          <t>Recruiter</t>
        </is>
      </c>
      <c r="F129" s="2" t="n">
        <v>2.6</v>
      </c>
      <c r="G129" s="3" t="n">
        <v>655000</v>
      </c>
      <c r="H129" s="2" t="n">
        <v>19</v>
      </c>
      <c r="I129" s="2" t="n">
        <v>2</v>
      </c>
      <c r="J129" s="2" t="inlineStr">
        <is>
          <t>No</t>
        </is>
      </c>
      <c r="K129" s="2" t="inlineStr">
        <is>
          <t>Yes</t>
        </is>
      </c>
      <c r="L129" s="3">
        <f>G129/12</f>
        <v/>
      </c>
      <c r="M129" s="2">
        <f>IF(F129&lt;=2,"0-2 yrs",IF(F129&lt;=5,"3-5 yrs",IF(F129&lt;=10,"6-10 yrs","10+ yrs")))</f>
        <v/>
      </c>
      <c r="N129" s="3">
        <f>MEDIANIFS($G$2:$G$201,$D$2:$D$201,D129)</f>
        <v/>
      </c>
      <c r="O129" s="2">
        <f>MIN(100,IF(F129&lt;=2,20,0)+IF(I129&lt;=2,25,0)+IF(G129&lt;N129,15,0)+IF(J129="Yes",20,0)+IF(H129&lt;5,10,0))</f>
        <v/>
      </c>
      <c r="P129" s="2">
        <f>IF(O129&gt;=70,"High",IF(O129&gt;=40,"Medium","Low"))</f>
        <v/>
      </c>
    </row>
    <row r="130">
      <c r="A130" s="2" t="inlineStr">
        <is>
          <t>EMP1130</t>
        </is>
      </c>
      <c r="B130" s="2" t="n">
        <v>37</v>
      </c>
      <c r="C130" s="2" t="inlineStr">
        <is>
          <t>F</t>
        </is>
      </c>
      <c r="D130" s="2" t="inlineStr">
        <is>
          <t>HR</t>
        </is>
      </c>
      <c r="E130" s="2" t="inlineStr">
        <is>
          <t>HR Executive</t>
        </is>
      </c>
      <c r="F130" s="2" t="n">
        <v>4</v>
      </c>
      <c r="G130" s="3" t="n">
        <v>625000</v>
      </c>
      <c r="H130" s="2" t="n">
        <v>21</v>
      </c>
      <c r="I130" s="2" t="n">
        <v>4</v>
      </c>
      <c r="J130" s="2" t="inlineStr">
        <is>
          <t>No</t>
        </is>
      </c>
      <c r="K130" s="2" t="inlineStr">
        <is>
          <t>No</t>
        </is>
      </c>
      <c r="L130" s="3">
        <f>G130/12</f>
        <v/>
      </c>
      <c r="M130" s="2">
        <f>IF(F130&lt;=2,"0-2 yrs",IF(F130&lt;=5,"3-5 yrs",IF(F130&lt;=10,"6-10 yrs","10+ yrs")))</f>
        <v/>
      </c>
      <c r="N130" s="3">
        <f>MEDIANIFS($G$2:$G$201,$D$2:$D$201,D130)</f>
        <v/>
      </c>
      <c r="O130" s="2">
        <f>MIN(100,IF(F130&lt;=2,20,0)+IF(I130&lt;=2,25,0)+IF(G130&lt;N130,15,0)+IF(J130="Yes",20,0)+IF(H130&lt;5,10,0))</f>
        <v/>
      </c>
      <c r="P130" s="2">
        <f>IF(O130&gt;=70,"High",IF(O130&gt;=40,"Medium","Low"))</f>
        <v/>
      </c>
    </row>
    <row r="131">
      <c r="A131" s="2" t="inlineStr">
        <is>
          <t>EMP1131</t>
        </is>
      </c>
      <c r="B131" s="2" t="n">
        <v>37</v>
      </c>
      <c r="C131" s="2" t="inlineStr">
        <is>
          <t>F</t>
        </is>
      </c>
      <c r="D131" s="2" t="inlineStr">
        <is>
          <t>Sales</t>
        </is>
      </c>
      <c r="E131" s="2" t="inlineStr">
        <is>
          <t>Sales Manager</t>
        </is>
      </c>
      <c r="F131" s="2" t="n">
        <v>7.8</v>
      </c>
      <c r="G131" s="3" t="n">
        <v>625000</v>
      </c>
      <c r="H131" s="2" t="n">
        <v>35</v>
      </c>
      <c r="I131" s="2" t="n">
        <v>4</v>
      </c>
      <c r="J131" s="2" t="inlineStr">
        <is>
          <t>No</t>
        </is>
      </c>
      <c r="K131" s="2" t="inlineStr">
        <is>
          <t>No</t>
        </is>
      </c>
      <c r="L131" s="3">
        <f>G131/12</f>
        <v/>
      </c>
      <c r="M131" s="2">
        <f>IF(F131&lt;=2,"0-2 yrs",IF(F131&lt;=5,"3-5 yrs",IF(F131&lt;=10,"6-10 yrs","10+ yrs")))</f>
        <v/>
      </c>
      <c r="N131" s="3">
        <f>MEDIANIFS($G$2:$G$201,$D$2:$D$201,D131)</f>
        <v/>
      </c>
      <c r="O131" s="2">
        <f>MIN(100,IF(F131&lt;=2,20,0)+IF(I131&lt;=2,25,0)+IF(G131&lt;N131,15,0)+IF(J131="Yes",20,0)+IF(H131&lt;5,10,0))</f>
        <v/>
      </c>
      <c r="P131" s="2">
        <f>IF(O131&gt;=70,"High",IF(O131&gt;=40,"Medium","Low"))</f>
        <v/>
      </c>
    </row>
    <row r="132">
      <c r="A132" s="2" t="inlineStr">
        <is>
          <t>EMP1132</t>
        </is>
      </c>
      <c r="B132" s="2" t="n">
        <v>39</v>
      </c>
      <c r="C132" s="2" t="inlineStr">
        <is>
          <t>F</t>
        </is>
      </c>
      <c r="D132" s="2" t="inlineStr">
        <is>
          <t>IT</t>
        </is>
      </c>
      <c r="E132" s="2" t="inlineStr">
        <is>
          <t>IT Support</t>
        </is>
      </c>
      <c r="F132" s="2" t="n">
        <v>9</v>
      </c>
      <c r="G132" s="3" t="n">
        <v>950000</v>
      </c>
      <c r="H132" s="2" t="n">
        <v>13</v>
      </c>
      <c r="I132" s="2" t="n">
        <v>4</v>
      </c>
      <c r="J132" s="2" t="inlineStr">
        <is>
          <t>No</t>
        </is>
      </c>
      <c r="K132" s="2" t="inlineStr">
        <is>
          <t>No</t>
        </is>
      </c>
      <c r="L132" s="3">
        <f>G132/12</f>
        <v/>
      </c>
      <c r="M132" s="2">
        <f>IF(F132&lt;=2,"0-2 yrs",IF(F132&lt;=5,"3-5 yrs",IF(F132&lt;=10,"6-10 yrs","10+ yrs")))</f>
        <v/>
      </c>
      <c r="N132" s="3">
        <f>MEDIANIFS($G$2:$G$201,$D$2:$D$201,D132)</f>
        <v/>
      </c>
      <c r="O132" s="2">
        <f>MIN(100,IF(F132&lt;=2,20,0)+IF(I132&lt;=2,25,0)+IF(G132&lt;N132,15,0)+IF(J132="Yes",20,0)+IF(H132&lt;5,10,0))</f>
        <v/>
      </c>
      <c r="P132" s="2">
        <f>IF(O132&gt;=70,"High",IF(O132&gt;=40,"Medium","Low"))</f>
        <v/>
      </c>
    </row>
    <row r="133">
      <c r="A133" s="2" t="inlineStr">
        <is>
          <t>EMP1133</t>
        </is>
      </c>
      <c r="B133" s="2" t="n">
        <v>39</v>
      </c>
      <c r="C133" s="2" t="inlineStr">
        <is>
          <t>M</t>
        </is>
      </c>
      <c r="D133" s="2" t="inlineStr">
        <is>
          <t>Sales</t>
        </is>
      </c>
      <c r="E133" s="2" t="inlineStr">
        <is>
          <t>Sales Executive</t>
        </is>
      </c>
      <c r="F133" s="2" t="n">
        <v>6.3</v>
      </c>
      <c r="G133" s="3" t="n">
        <v>765000</v>
      </c>
      <c r="H133" s="2" t="n">
        <v>14</v>
      </c>
      <c r="I133" s="2" t="n">
        <v>3</v>
      </c>
      <c r="J133" s="2" t="inlineStr">
        <is>
          <t>No</t>
        </is>
      </c>
      <c r="K133" s="2" t="inlineStr">
        <is>
          <t>No</t>
        </is>
      </c>
      <c r="L133" s="3">
        <f>G133/12</f>
        <v/>
      </c>
      <c r="M133" s="2">
        <f>IF(F133&lt;=2,"0-2 yrs",IF(F133&lt;=5,"3-5 yrs",IF(F133&lt;=10,"6-10 yrs","10+ yrs")))</f>
        <v/>
      </c>
      <c r="N133" s="3">
        <f>MEDIANIFS($G$2:$G$201,$D$2:$D$201,D133)</f>
        <v/>
      </c>
      <c r="O133" s="2">
        <f>MIN(100,IF(F133&lt;=2,20,0)+IF(I133&lt;=2,25,0)+IF(G133&lt;N133,15,0)+IF(J133="Yes",20,0)+IF(H133&lt;5,10,0))</f>
        <v/>
      </c>
      <c r="P133" s="2">
        <f>IF(O133&gt;=70,"High",IF(O133&gt;=40,"Medium","Low"))</f>
        <v/>
      </c>
    </row>
    <row r="134">
      <c r="A134" s="2" t="inlineStr">
        <is>
          <t>EMP1134</t>
        </is>
      </c>
      <c r="B134" s="2" t="n">
        <v>33</v>
      </c>
      <c r="C134" s="2" t="inlineStr">
        <is>
          <t>M</t>
        </is>
      </c>
      <c r="D134" s="2" t="inlineStr">
        <is>
          <t>Sales</t>
        </is>
      </c>
      <c r="E134" s="2" t="inlineStr">
        <is>
          <t>Sales Executive</t>
        </is>
      </c>
      <c r="F134" s="2" t="n">
        <v>2.6</v>
      </c>
      <c r="G134" s="3" t="n">
        <v>630000</v>
      </c>
      <c r="H134" s="2" t="n">
        <v>18</v>
      </c>
      <c r="I134" s="2" t="n">
        <v>3</v>
      </c>
      <c r="J134" s="2" t="inlineStr">
        <is>
          <t>No</t>
        </is>
      </c>
      <c r="K134" s="2" t="inlineStr">
        <is>
          <t>No</t>
        </is>
      </c>
      <c r="L134" s="3">
        <f>G134/12</f>
        <v/>
      </c>
      <c r="M134" s="2">
        <f>IF(F134&lt;=2,"0-2 yrs",IF(F134&lt;=5,"3-5 yrs",IF(F134&lt;=10,"6-10 yrs","10+ yrs")))</f>
        <v/>
      </c>
      <c r="N134" s="3">
        <f>MEDIANIFS($G$2:$G$201,$D$2:$D$201,D134)</f>
        <v/>
      </c>
      <c r="O134" s="2">
        <f>MIN(100,IF(F134&lt;=2,20,0)+IF(I134&lt;=2,25,0)+IF(G134&lt;N134,15,0)+IF(J134="Yes",20,0)+IF(H134&lt;5,10,0))</f>
        <v/>
      </c>
      <c r="P134" s="2">
        <f>IF(O134&gt;=70,"High",IF(O134&gt;=40,"Medium","Low"))</f>
        <v/>
      </c>
    </row>
    <row r="135">
      <c r="A135" s="2" t="inlineStr">
        <is>
          <t>EMP1135</t>
        </is>
      </c>
      <c r="B135" s="2" t="n">
        <v>30</v>
      </c>
      <c r="C135" s="2" t="inlineStr">
        <is>
          <t>M</t>
        </is>
      </c>
      <c r="D135" s="2" t="inlineStr">
        <is>
          <t>IT</t>
        </is>
      </c>
      <c r="E135" s="2" t="inlineStr">
        <is>
          <t>Data Analyst</t>
        </is>
      </c>
      <c r="F135" s="2" t="n">
        <v>13.3</v>
      </c>
      <c r="G135" s="3" t="n">
        <v>1075000</v>
      </c>
      <c r="H135" s="2" t="n">
        <v>12</v>
      </c>
      <c r="I135" s="2" t="n">
        <v>2</v>
      </c>
      <c r="J135" s="2" t="inlineStr">
        <is>
          <t>No</t>
        </is>
      </c>
      <c r="K135" s="2" t="inlineStr">
        <is>
          <t>No</t>
        </is>
      </c>
      <c r="L135" s="3">
        <f>G135/12</f>
        <v/>
      </c>
      <c r="M135" s="2">
        <f>IF(F135&lt;=2,"0-2 yrs",IF(F135&lt;=5,"3-5 yrs",IF(F135&lt;=10,"6-10 yrs","10+ yrs")))</f>
        <v/>
      </c>
      <c r="N135" s="3">
        <f>MEDIANIFS($G$2:$G$201,$D$2:$D$201,D135)</f>
        <v/>
      </c>
      <c r="O135" s="2">
        <f>MIN(100,IF(F135&lt;=2,20,0)+IF(I135&lt;=2,25,0)+IF(G135&lt;N135,15,0)+IF(J135="Yes",20,0)+IF(H135&lt;5,10,0))</f>
        <v/>
      </c>
      <c r="P135" s="2">
        <f>IF(O135&gt;=70,"High",IF(O135&gt;=40,"Medium","Low"))</f>
        <v/>
      </c>
    </row>
    <row r="136">
      <c r="A136" s="2" t="inlineStr">
        <is>
          <t>EMP1136</t>
        </is>
      </c>
      <c r="B136" s="2" t="n">
        <v>23</v>
      </c>
      <c r="C136" s="2" t="inlineStr">
        <is>
          <t>F</t>
        </is>
      </c>
      <c r="D136" s="2" t="inlineStr">
        <is>
          <t>Customer Support</t>
        </is>
      </c>
      <c r="E136" s="2" t="inlineStr">
        <is>
          <t>Support Analyst</t>
        </is>
      </c>
      <c r="F136" s="2" t="n">
        <v>3.9</v>
      </c>
      <c r="G136" s="3" t="n">
        <v>315000</v>
      </c>
      <c r="H136" s="2" t="n">
        <v>14</v>
      </c>
      <c r="I136" s="2" t="n">
        <v>4</v>
      </c>
      <c r="J136" s="2" t="inlineStr">
        <is>
          <t>No</t>
        </is>
      </c>
      <c r="K136" s="2" t="inlineStr">
        <is>
          <t>No</t>
        </is>
      </c>
      <c r="L136" s="3">
        <f>G136/12</f>
        <v/>
      </c>
      <c r="M136" s="2">
        <f>IF(F136&lt;=2,"0-2 yrs",IF(F136&lt;=5,"3-5 yrs",IF(F136&lt;=10,"6-10 yrs","10+ yrs")))</f>
        <v/>
      </c>
      <c r="N136" s="3">
        <f>MEDIANIFS($G$2:$G$201,$D$2:$D$201,D136)</f>
        <v/>
      </c>
      <c r="O136" s="2">
        <f>MIN(100,IF(F136&lt;=2,20,0)+IF(I136&lt;=2,25,0)+IF(G136&lt;N136,15,0)+IF(J136="Yes",20,0)+IF(H136&lt;5,10,0))</f>
        <v/>
      </c>
      <c r="P136" s="2">
        <f>IF(O136&gt;=70,"High",IF(O136&gt;=40,"Medium","Low"))</f>
        <v/>
      </c>
    </row>
    <row r="137">
      <c r="A137" s="2" t="inlineStr">
        <is>
          <t>EMP1137</t>
        </is>
      </c>
      <c r="B137" s="2" t="n">
        <v>43</v>
      </c>
      <c r="C137" s="2" t="inlineStr">
        <is>
          <t>M</t>
        </is>
      </c>
      <c r="D137" s="2" t="inlineStr">
        <is>
          <t>Operations</t>
        </is>
      </c>
      <c r="E137" s="2" t="inlineStr">
        <is>
          <t>Process Analyst</t>
        </is>
      </c>
      <c r="F137" s="2" t="n">
        <v>3.2</v>
      </c>
      <c r="G137" s="3" t="n">
        <v>375000</v>
      </c>
      <c r="H137" s="2" t="n">
        <v>24</v>
      </c>
      <c r="I137" s="2" t="n">
        <v>2</v>
      </c>
      <c r="J137" s="2" t="inlineStr">
        <is>
          <t>Yes</t>
        </is>
      </c>
      <c r="K137" s="2" t="inlineStr">
        <is>
          <t>Yes</t>
        </is>
      </c>
      <c r="L137" s="3">
        <f>G137/12</f>
        <v/>
      </c>
      <c r="M137" s="2">
        <f>IF(F137&lt;=2,"0-2 yrs",IF(F137&lt;=5,"3-5 yrs",IF(F137&lt;=10,"6-10 yrs","10+ yrs")))</f>
        <v/>
      </c>
      <c r="N137" s="3">
        <f>MEDIANIFS($G$2:$G$201,$D$2:$D$201,D137)</f>
        <v/>
      </c>
      <c r="O137" s="2">
        <f>MIN(100,IF(F137&lt;=2,20,0)+IF(I137&lt;=2,25,0)+IF(G137&lt;N137,15,0)+IF(J137="Yes",20,0)+IF(H137&lt;5,10,0))</f>
        <v/>
      </c>
      <c r="P137" s="2">
        <f>IF(O137&gt;=70,"High",IF(O137&gt;=40,"Medium","Low"))</f>
        <v/>
      </c>
    </row>
    <row r="138">
      <c r="A138" s="2" t="inlineStr">
        <is>
          <t>EMP1138</t>
        </is>
      </c>
      <c r="B138" s="2" t="n">
        <v>28</v>
      </c>
      <c r="C138" s="2" t="inlineStr">
        <is>
          <t>F</t>
        </is>
      </c>
      <c r="D138" s="2" t="inlineStr">
        <is>
          <t>Sales</t>
        </is>
      </c>
      <c r="E138" s="2" t="inlineStr">
        <is>
          <t>Sales Manager</t>
        </is>
      </c>
      <c r="F138" s="2" t="n">
        <v>10.4</v>
      </c>
      <c r="G138" s="3" t="n">
        <v>240000</v>
      </c>
      <c r="H138" s="2" t="n">
        <v>19</v>
      </c>
      <c r="I138" s="2" t="n">
        <v>4</v>
      </c>
      <c r="J138" s="2" t="inlineStr">
        <is>
          <t>No</t>
        </is>
      </c>
      <c r="K138" s="2" t="inlineStr">
        <is>
          <t>No</t>
        </is>
      </c>
      <c r="L138" s="3">
        <f>G138/12</f>
        <v/>
      </c>
      <c r="M138" s="2">
        <f>IF(F138&lt;=2,"0-2 yrs",IF(F138&lt;=5,"3-5 yrs",IF(F138&lt;=10,"6-10 yrs","10+ yrs")))</f>
        <v/>
      </c>
      <c r="N138" s="3">
        <f>MEDIANIFS($G$2:$G$201,$D$2:$D$201,D138)</f>
        <v/>
      </c>
      <c r="O138" s="2">
        <f>MIN(100,IF(F138&lt;=2,20,0)+IF(I138&lt;=2,25,0)+IF(G138&lt;N138,15,0)+IF(J138="Yes",20,0)+IF(H138&lt;5,10,0))</f>
        <v/>
      </c>
      <c r="P138" s="2">
        <f>IF(O138&gt;=70,"High",IF(O138&gt;=40,"Medium","Low"))</f>
        <v/>
      </c>
    </row>
    <row r="139">
      <c r="A139" s="2" t="inlineStr">
        <is>
          <t>EMP1139</t>
        </is>
      </c>
      <c r="B139" s="2" t="n">
        <v>33</v>
      </c>
      <c r="C139" s="2" t="inlineStr">
        <is>
          <t>M</t>
        </is>
      </c>
      <c r="D139" s="2" t="inlineStr">
        <is>
          <t>Sales</t>
        </is>
      </c>
      <c r="E139" s="2" t="inlineStr">
        <is>
          <t>Sales Manager</t>
        </is>
      </c>
      <c r="F139" s="2" t="n">
        <v>10.1</v>
      </c>
      <c r="G139" s="3" t="n">
        <v>890000</v>
      </c>
      <c r="H139" s="2" t="n">
        <v>7</v>
      </c>
      <c r="I139" s="2" t="n">
        <v>2</v>
      </c>
      <c r="J139" s="2" t="inlineStr">
        <is>
          <t>No</t>
        </is>
      </c>
      <c r="K139" s="2" t="inlineStr">
        <is>
          <t>No</t>
        </is>
      </c>
      <c r="L139" s="3">
        <f>G139/12</f>
        <v/>
      </c>
      <c r="M139" s="2">
        <f>IF(F139&lt;=2,"0-2 yrs",IF(F139&lt;=5,"3-5 yrs",IF(F139&lt;=10,"6-10 yrs","10+ yrs")))</f>
        <v/>
      </c>
      <c r="N139" s="3">
        <f>MEDIANIFS($G$2:$G$201,$D$2:$D$201,D139)</f>
        <v/>
      </c>
      <c r="O139" s="2">
        <f>MIN(100,IF(F139&lt;=2,20,0)+IF(I139&lt;=2,25,0)+IF(G139&lt;N139,15,0)+IF(J139="Yes",20,0)+IF(H139&lt;5,10,0))</f>
        <v/>
      </c>
      <c r="P139" s="2">
        <f>IF(O139&gt;=70,"High",IF(O139&gt;=40,"Medium","Low"))</f>
        <v/>
      </c>
    </row>
    <row r="140">
      <c r="A140" s="2" t="inlineStr">
        <is>
          <t>EMP1140</t>
        </is>
      </c>
      <c r="B140" s="2" t="n">
        <v>37</v>
      </c>
      <c r="C140" s="2" t="inlineStr">
        <is>
          <t>M</t>
        </is>
      </c>
      <c r="D140" s="2" t="inlineStr">
        <is>
          <t>HR</t>
        </is>
      </c>
      <c r="E140" s="2" t="inlineStr">
        <is>
          <t>HR Analyst</t>
        </is>
      </c>
      <c r="F140" s="2" t="n">
        <v>10.2</v>
      </c>
      <c r="G140" s="3" t="n">
        <v>610000</v>
      </c>
      <c r="H140" s="2" t="n">
        <v>16</v>
      </c>
      <c r="I140" s="2" t="n">
        <v>2</v>
      </c>
      <c r="J140" s="2" t="inlineStr">
        <is>
          <t>No</t>
        </is>
      </c>
      <c r="K140" s="2" t="inlineStr">
        <is>
          <t>No</t>
        </is>
      </c>
      <c r="L140" s="3">
        <f>G140/12</f>
        <v/>
      </c>
      <c r="M140" s="2">
        <f>IF(F140&lt;=2,"0-2 yrs",IF(F140&lt;=5,"3-5 yrs",IF(F140&lt;=10,"6-10 yrs","10+ yrs")))</f>
        <v/>
      </c>
      <c r="N140" s="3">
        <f>MEDIANIFS($G$2:$G$201,$D$2:$D$201,D140)</f>
        <v/>
      </c>
      <c r="O140" s="2">
        <f>MIN(100,IF(F140&lt;=2,20,0)+IF(I140&lt;=2,25,0)+IF(G140&lt;N140,15,0)+IF(J140="Yes",20,0)+IF(H140&lt;5,10,0))</f>
        <v/>
      </c>
      <c r="P140" s="2">
        <f>IF(O140&gt;=70,"High",IF(O140&gt;=40,"Medium","Low"))</f>
        <v/>
      </c>
    </row>
    <row r="141">
      <c r="A141" s="2" t="inlineStr">
        <is>
          <t>EMP1141</t>
        </is>
      </c>
      <c r="B141" s="2" t="n">
        <v>30</v>
      </c>
      <c r="C141" s="2" t="inlineStr">
        <is>
          <t>F</t>
        </is>
      </c>
      <c r="D141" s="2" t="inlineStr">
        <is>
          <t>Operations</t>
        </is>
      </c>
      <c r="E141" s="2" t="inlineStr">
        <is>
          <t>Operations Executive</t>
        </is>
      </c>
      <c r="F141" s="2" t="n">
        <v>1.9</v>
      </c>
      <c r="G141" s="3" t="n">
        <v>785000</v>
      </c>
      <c r="H141" s="2" t="n">
        <v>19</v>
      </c>
      <c r="I141" s="2" t="n">
        <v>4</v>
      </c>
      <c r="J141" s="2" t="inlineStr">
        <is>
          <t>No</t>
        </is>
      </c>
      <c r="K141" s="2" t="inlineStr">
        <is>
          <t>No</t>
        </is>
      </c>
      <c r="L141" s="3">
        <f>G141/12</f>
        <v/>
      </c>
      <c r="M141" s="2">
        <f>IF(F141&lt;=2,"0-2 yrs",IF(F141&lt;=5,"3-5 yrs",IF(F141&lt;=10,"6-10 yrs","10+ yrs")))</f>
        <v/>
      </c>
      <c r="N141" s="3">
        <f>MEDIANIFS($G$2:$G$201,$D$2:$D$201,D141)</f>
        <v/>
      </c>
      <c r="O141" s="2">
        <f>MIN(100,IF(F141&lt;=2,20,0)+IF(I141&lt;=2,25,0)+IF(G141&lt;N141,15,0)+IF(J141="Yes",20,0)+IF(H141&lt;5,10,0))</f>
        <v/>
      </c>
      <c r="P141" s="2">
        <f>IF(O141&gt;=70,"High",IF(O141&gt;=40,"Medium","Low"))</f>
        <v/>
      </c>
    </row>
    <row r="142">
      <c r="A142" s="2" t="inlineStr">
        <is>
          <t>EMP1142</t>
        </is>
      </c>
      <c r="B142" s="2" t="n">
        <v>21</v>
      </c>
      <c r="C142" s="2" t="inlineStr">
        <is>
          <t>F</t>
        </is>
      </c>
      <c r="D142" s="2" t="inlineStr">
        <is>
          <t>IT</t>
        </is>
      </c>
      <c r="E142" s="2" t="inlineStr">
        <is>
          <t>Software Engineer</t>
        </is>
      </c>
      <c r="F142" s="2" t="n">
        <v>2.6</v>
      </c>
      <c r="G142" s="3" t="n">
        <v>850000</v>
      </c>
      <c r="H142" s="2" t="n">
        <v>21</v>
      </c>
      <c r="I142" s="2" t="n">
        <v>3</v>
      </c>
      <c r="J142" s="2" t="inlineStr">
        <is>
          <t>No</t>
        </is>
      </c>
      <c r="K142" s="2" t="inlineStr">
        <is>
          <t>No</t>
        </is>
      </c>
      <c r="L142" s="3">
        <f>G142/12</f>
        <v/>
      </c>
      <c r="M142" s="2">
        <f>IF(F142&lt;=2,"0-2 yrs",IF(F142&lt;=5,"3-5 yrs",IF(F142&lt;=10,"6-10 yrs","10+ yrs")))</f>
        <v/>
      </c>
      <c r="N142" s="3">
        <f>MEDIANIFS($G$2:$G$201,$D$2:$D$201,D142)</f>
        <v/>
      </c>
      <c r="O142" s="2">
        <f>MIN(100,IF(F142&lt;=2,20,0)+IF(I142&lt;=2,25,0)+IF(G142&lt;N142,15,0)+IF(J142="Yes",20,0)+IF(H142&lt;5,10,0))</f>
        <v/>
      </c>
      <c r="P142" s="2">
        <f>IF(O142&gt;=70,"High",IF(O142&gt;=40,"Medium","Low"))</f>
        <v/>
      </c>
    </row>
    <row r="143">
      <c r="A143" s="2" t="inlineStr">
        <is>
          <t>EMP1143</t>
        </is>
      </c>
      <c r="B143" s="2" t="n">
        <v>33</v>
      </c>
      <c r="C143" s="2" t="inlineStr">
        <is>
          <t>F</t>
        </is>
      </c>
      <c r="D143" s="2" t="inlineStr">
        <is>
          <t>IT</t>
        </is>
      </c>
      <c r="E143" s="2" t="inlineStr">
        <is>
          <t>Data Analyst</t>
        </is>
      </c>
      <c r="F143" s="2" t="n">
        <v>5</v>
      </c>
      <c r="G143" s="3" t="n">
        <v>820000</v>
      </c>
      <c r="H143" s="2" t="n">
        <v>14</v>
      </c>
      <c r="I143" s="2" t="n">
        <v>3</v>
      </c>
      <c r="J143" s="2" t="inlineStr">
        <is>
          <t>Yes</t>
        </is>
      </c>
      <c r="K143" s="2" t="inlineStr">
        <is>
          <t>No</t>
        </is>
      </c>
      <c r="L143" s="3">
        <f>G143/12</f>
        <v/>
      </c>
      <c r="M143" s="2">
        <f>IF(F143&lt;=2,"0-2 yrs",IF(F143&lt;=5,"3-5 yrs",IF(F143&lt;=10,"6-10 yrs","10+ yrs")))</f>
        <v/>
      </c>
      <c r="N143" s="3">
        <f>MEDIANIFS($G$2:$G$201,$D$2:$D$201,D143)</f>
        <v/>
      </c>
      <c r="O143" s="2">
        <f>MIN(100,IF(F143&lt;=2,20,0)+IF(I143&lt;=2,25,0)+IF(G143&lt;N143,15,0)+IF(J143="Yes",20,0)+IF(H143&lt;5,10,0))</f>
        <v/>
      </c>
      <c r="P143" s="2">
        <f>IF(O143&gt;=70,"High",IF(O143&gt;=40,"Medium","Low"))</f>
        <v/>
      </c>
    </row>
    <row r="144">
      <c r="A144" s="2" t="inlineStr">
        <is>
          <t>EMP1144</t>
        </is>
      </c>
      <c r="B144" s="2" t="n">
        <v>38</v>
      </c>
      <c r="C144" s="2" t="inlineStr">
        <is>
          <t>M</t>
        </is>
      </c>
      <c r="D144" s="2" t="inlineStr">
        <is>
          <t>IT</t>
        </is>
      </c>
      <c r="E144" s="2" t="inlineStr">
        <is>
          <t>Software Engineer</t>
        </is>
      </c>
      <c r="F144" s="2" t="n">
        <v>9.5</v>
      </c>
      <c r="G144" s="3" t="n">
        <v>1095000</v>
      </c>
      <c r="H144" s="2" t="n">
        <v>2</v>
      </c>
      <c r="I144" s="2" t="n">
        <v>3</v>
      </c>
      <c r="J144" s="2" t="inlineStr">
        <is>
          <t>Yes</t>
        </is>
      </c>
      <c r="K144" s="2" t="inlineStr">
        <is>
          <t>Yes</t>
        </is>
      </c>
      <c r="L144" s="3">
        <f>G144/12</f>
        <v/>
      </c>
      <c r="M144" s="2">
        <f>IF(F144&lt;=2,"0-2 yrs",IF(F144&lt;=5,"3-5 yrs",IF(F144&lt;=10,"6-10 yrs","10+ yrs")))</f>
        <v/>
      </c>
      <c r="N144" s="3">
        <f>MEDIANIFS($G$2:$G$201,$D$2:$D$201,D144)</f>
        <v/>
      </c>
      <c r="O144" s="2">
        <f>MIN(100,IF(F144&lt;=2,20,0)+IF(I144&lt;=2,25,0)+IF(G144&lt;N144,15,0)+IF(J144="Yes",20,0)+IF(H144&lt;5,10,0))</f>
        <v/>
      </c>
      <c r="P144" s="2">
        <f>IF(O144&gt;=70,"High",IF(O144&gt;=40,"Medium","Low"))</f>
        <v/>
      </c>
    </row>
    <row r="145">
      <c r="A145" s="2" t="inlineStr">
        <is>
          <t>EMP1145</t>
        </is>
      </c>
      <c r="B145" s="2" t="n">
        <v>29</v>
      </c>
      <c r="C145" s="2" t="inlineStr">
        <is>
          <t>F</t>
        </is>
      </c>
      <c r="D145" s="2" t="inlineStr">
        <is>
          <t>Sales</t>
        </is>
      </c>
      <c r="E145" s="2" t="inlineStr">
        <is>
          <t>Sales Manager</t>
        </is>
      </c>
      <c r="F145" s="2" t="n">
        <v>10.1</v>
      </c>
      <c r="G145" s="3" t="n">
        <v>1340000</v>
      </c>
      <c r="H145" s="2" t="n">
        <v>18</v>
      </c>
      <c r="I145" s="2" t="n">
        <v>5</v>
      </c>
      <c r="J145" s="2" t="inlineStr">
        <is>
          <t>No</t>
        </is>
      </c>
      <c r="K145" s="2" t="inlineStr">
        <is>
          <t>No</t>
        </is>
      </c>
      <c r="L145" s="3">
        <f>G145/12</f>
        <v/>
      </c>
      <c r="M145" s="2">
        <f>IF(F145&lt;=2,"0-2 yrs",IF(F145&lt;=5,"3-5 yrs",IF(F145&lt;=10,"6-10 yrs","10+ yrs")))</f>
        <v/>
      </c>
      <c r="N145" s="3">
        <f>MEDIANIFS($G$2:$G$201,$D$2:$D$201,D145)</f>
        <v/>
      </c>
      <c r="O145" s="2">
        <f>MIN(100,IF(F145&lt;=2,20,0)+IF(I145&lt;=2,25,0)+IF(G145&lt;N145,15,0)+IF(J145="Yes",20,0)+IF(H145&lt;5,10,0))</f>
        <v/>
      </c>
      <c r="P145" s="2">
        <f>IF(O145&gt;=70,"High",IF(O145&gt;=40,"Medium","Low"))</f>
        <v/>
      </c>
    </row>
    <row r="146">
      <c r="A146" s="2" t="inlineStr">
        <is>
          <t>EMP1146</t>
        </is>
      </c>
      <c r="B146" s="2" t="n">
        <v>31</v>
      </c>
      <c r="C146" s="2" t="inlineStr">
        <is>
          <t>M</t>
        </is>
      </c>
      <c r="D146" s="2" t="inlineStr">
        <is>
          <t>Operations</t>
        </is>
      </c>
      <c r="E146" s="2" t="inlineStr">
        <is>
          <t>Operations Manager</t>
        </is>
      </c>
      <c r="F146" s="2" t="n">
        <v>1.8</v>
      </c>
      <c r="G146" s="3" t="n">
        <v>390000</v>
      </c>
      <c r="H146" s="2" t="n">
        <v>28</v>
      </c>
      <c r="I146" s="2" t="n">
        <v>4</v>
      </c>
      <c r="J146" s="2" t="inlineStr">
        <is>
          <t>No</t>
        </is>
      </c>
      <c r="K146" s="2" t="inlineStr">
        <is>
          <t>No</t>
        </is>
      </c>
      <c r="L146" s="3">
        <f>G146/12</f>
        <v/>
      </c>
      <c r="M146" s="2">
        <f>IF(F146&lt;=2,"0-2 yrs",IF(F146&lt;=5,"3-5 yrs",IF(F146&lt;=10,"6-10 yrs","10+ yrs")))</f>
        <v/>
      </c>
      <c r="N146" s="3">
        <f>MEDIANIFS($G$2:$G$201,$D$2:$D$201,D146)</f>
        <v/>
      </c>
      <c r="O146" s="2">
        <f>MIN(100,IF(F146&lt;=2,20,0)+IF(I146&lt;=2,25,0)+IF(G146&lt;N146,15,0)+IF(J146="Yes",20,0)+IF(H146&lt;5,10,0))</f>
        <v/>
      </c>
      <c r="P146" s="2">
        <f>IF(O146&gt;=70,"High",IF(O146&gt;=40,"Medium","Low"))</f>
        <v/>
      </c>
    </row>
    <row r="147">
      <c r="A147" s="2" t="inlineStr">
        <is>
          <t>EMP1147</t>
        </is>
      </c>
      <c r="B147" s="2" t="n">
        <v>21</v>
      </c>
      <c r="C147" s="2" t="inlineStr">
        <is>
          <t>F</t>
        </is>
      </c>
      <c r="D147" s="2" t="inlineStr">
        <is>
          <t>Operations</t>
        </is>
      </c>
      <c r="E147" s="2" t="inlineStr">
        <is>
          <t>Operations Executive</t>
        </is>
      </c>
      <c r="F147" s="2" t="n">
        <v>6.6</v>
      </c>
      <c r="G147" s="3" t="n">
        <v>590000</v>
      </c>
      <c r="H147" s="2" t="n">
        <v>21</v>
      </c>
      <c r="I147" s="2" t="n">
        <v>5</v>
      </c>
      <c r="J147" s="2" t="inlineStr">
        <is>
          <t>Yes</t>
        </is>
      </c>
      <c r="K147" s="2" t="inlineStr">
        <is>
          <t>No</t>
        </is>
      </c>
      <c r="L147" s="3">
        <f>G147/12</f>
        <v/>
      </c>
      <c r="M147" s="2">
        <f>IF(F147&lt;=2,"0-2 yrs",IF(F147&lt;=5,"3-5 yrs",IF(F147&lt;=10,"6-10 yrs","10+ yrs")))</f>
        <v/>
      </c>
      <c r="N147" s="3">
        <f>MEDIANIFS($G$2:$G$201,$D$2:$D$201,D147)</f>
        <v/>
      </c>
      <c r="O147" s="2">
        <f>MIN(100,IF(F147&lt;=2,20,0)+IF(I147&lt;=2,25,0)+IF(G147&lt;N147,15,0)+IF(J147="Yes",20,0)+IF(H147&lt;5,10,0))</f>
        <v/>
      </c>
      <c r="P147" s="2">
        <f>IF(O147&gt;=70,"High",IF(O147&gt;=40,"Medium","Low"))</f>
        <v/>
      </c>
    </row>
    <row r="148">
      <c r="A148" s="2" t="inlineStr">
        <is>
          <t>EMP1148</t>
        </is>
      </c>
      <c r="B148" s="2" t="n">
        <v>21</v>
      </c>
      <c r="C148" s="2" t="inlineStr">
        <is>
          <t>M</t>
        </is>
      </c>
      <c r="D148" s="2" t="inlineStr">
        <is>
          <t>IT</t>
        </is>
      </c>
      <c r="E148" s="2" t="inlineStr">
        <is>
          <t>IT Support</t>
        </is>
      </c>
      <c r="F148" s="2" t="n">
        <v>1.7</v>
      </c>
      <c r="G148" s="3" t="n">
        <v>625000</v>
      </c>
      <c r="H148" s="2" t="n">
        <v>18</v>
      </c>
      <c r="I148" s="2" t="n">
        <v>3</v>
      </c>
      <c r="J148" s="2" t="inlineStr">
        <is>
          <t>Yes</t>
        </is>
      </c>
      <c r="K148" s="2" t="inlineStr">
        <is>
          <t>No</t>
        </is>
      </c>
      <c r="L148" s="3">
        <f>G148/12</f>
        <v/>
      </c>
      <c r="M148" s="2">
        <f>IF(F148&lt;=2,"0-2 yrs",IF(F148&lt;=5,"3-5 yrs",IF(F148&lt;=10,"6-10 yrs","10+ yrs")))</f>
        <v/>
      </c>
      <c r="N148" s="3">
        <f>MEDIANIFS($G$2:$G$201,$D$2:$D$201,D148)</f>
        <v/>
      </c>
      <c r="O148" s="2">
        <f>MIN(100,IF(F148&lt;=2,20,0)+IF(I148&lt;=2,25,0)+IF(G148&lt;N148,15,0)+IF(J148="Yes",20,0)+IF(H148&lt;5,10,0))</f>
        <v/>
      </c>
      <c r="P148" s="2">
        <f>IF(O148&gt;=70,"High",IF(O148&gt;=40,"Medium","Low"))</f>
        <v/>
      </c>
    </row>
    <row r="149">
      <c r="A149" s="2" t="inlineStr">
        <is>
          <t>EMP1149</t>
        </is>
      </c>
      <c r="B149" s="2" t="n">
        <v>35</v>
      </c>
      <c r="C149" s="2" t="inlineStr">
        <is>
          <t>F</t>
        </is>
      </c>
      <c r="D149" s="2" t="inlineStr">
        <is>
          <t>IT</t>
        </is>
      </c>
      <c r="E149" s="2" t="inlineStr">
        <is>
          <t>Data Analyst</t>
        </is>
      </c>
      <c r="F149" s="2" t="n">
        <v>14.7</v>
      </c>
      <c r="G149" s="3" t="n">
        <v>770000</v>
      </c>
      <c r="H149" s="2" t="n">
        <v>8</v>
      </c>
      <c r="I149" s="2" t="n">
        <v>2</v>
      </c>
      <c r="J149" s="2" t="inlineStr">
        <is>
          <t>No</t>
        </is>
      </c>
      <c r="K149" s="2" t="inlineStr">
        <is>
          <t>No</t>
        </is>
      </c>
      <c r="L149" s="3">
        <f>G149/12</f>
        <v/>
      </c>
      <c r="M149" s="2">
        <f>IF(F149&lt;=2,"0-2 yrs",IF(F149&lt;=5,"3-5 yrs",IF(F149&lt;=10,"6-10 yrs","10+ yrs")))</f>
        <v/>
      </c>
      <c r="N149" s="3">
        <f>MEDIANIFS($G$2:$G$201,$D$2:$D$201,D149)</f>
        <v/>
      </c>
      <c r="O149" s="2">
        <f>MIN(100,IF(F149&lt;=2,20,0)+IF(I149&lt;=2,25,0)+IF(G149&lt;N149,15,0)+IF(J149="Yes",20,0)+IF(H149&lt;5,10,0))</f>
        <v/>
      </c>
      <c r="P149" s="2">
        <f>IF(O149&gt;=70,"High",IF(O149&gt;=40,"Medium","Low"))</f>
        <v/>
      </c>
    </row>
    <row r="150">
      <c r="A150" s="2" t="inlineStr">
        <is>
          <t>EMP1150</t>
        </is>
      </c>
      <c r="B150" s="2" t="n">
        <v>39</v>
      </c>
      <c r="C150" s="2" t="inlineStr">
        <is>
          <t>F</t>
        </is>
      </c>
      <c r="D150" s="2" t="inlineStr">
        <is>
          <t>Finance</t>
        </is>
      </c>
      <c r="E150" s="2" t="inlineStr">
        <is>
          <t>Accountant</t>
        </is>
      </c>
      <c r="F150" s="2" t="n">
        <v>8.6</v>
      </c>
      <c r="G150" s="3" t="n">
        <v>630000</v>
      </c>
      <c r="H150" s="2" t="n">
        <v>22</v>
      </c>
      <c r="I150" s="2" t="n">
        <v>4</v>
      </c>
      <c r="J150" s="2" t="inlineStr">
        <is>
          <t>No</t>
        </is>
      </c>
      <c r="K150" s="2" t="inlineStr">
        <is>
          <t>No</t>
        </is>
      </c>
      <c r="L150" s="3">
        <f>G150/12</f>
        <v/>
      </c>
      <c r="M150" s="2">
        <f>IF(F150&lt;=2,"0-2 yrs",IF(F150&lt;=5,"3-5 yrs",IF(F150&lt;=10,"6-10 yrs","10+ yrs")))</f>
        <v/>
      </c>
      <c r="N150" s="3">
        <f>MEDIANIFS($G$2:$G$201,$D$2:$D$201,D150)</f>
        <v/>
      </c>
      <c r="O150" s="2">
        <f>MIN(100,IF(F150&lt;=2,20,0)+IF(I150&lt;=2,25,0)+IF(G150&lt;N150,15,0)+IF(J150="Yes",20,0)+IF(H150&lt;5,10,0))</f>
        <v/>
      </c>
      <c r="P150" s="2">
        <f>IF(O150&gt;=70,"High",IF(O150&gt;=40,"Medium","Low"))</f>
        <v/>
      </c>
    </row>
    <row r="151">
      <c r="A151" s="2" t="inlineStr">
        <is>
          <t>EMP1151</t>
        </is>
      </c>
      <c r="B151" s="2" t="n">
        <v>31</v>
      </c>
      <c r="C151" s="2" t="inlineStr">
        <is>
          <t>F</t>
        </is>
      </c>
      <c r="D151" s="2" t="inlineStr">
        <is>
          <t>Finance</t>
        </is>
      </c>
      <c r="E151" s="2" t="inlineStr">
        <is>
          <t>Financial Analyst</t>
        </is>
      </c>
      <c r="F151" s="2" t="n">
        <v>3.3</v>
      </c>
      <c r="G151" s="3" t="n">
        <v>810000</v>
      </c>
      <c r="H151" s="2" t="n">
        <v>15</v>
      </c>
      <c r="I151" s="2" t="n">
        <v>4</v>
      </c>
      <c r="J151" s="2" t="inlineStr">
        <is>
          <t>No</t>
        </is>
      </c>
      <c r="K151" s="2" t="inlineStr">
        <is>
          <t>No</t>
        </is>
      </c>
      <c r="L151" s="3">
        <f>G151/12</f>
        <v/>
      </c>
      <c r="M151" s="2">
        <f>IF(F151&lt;=2,"0-2 yrs",IF(F151&lt;=5,"3-5 yrs",IF(F151&lt;=10,"6-10 yrs","10+ yrs")))</f>
        <v/>
      </c>
      <c r="N151" s="3">
        <f>MEDIANIFS($G$2:$G$201,$D$2:$D$201,D151)</f>
        <v/>
      </c>
      <c r="O151" s="2">
        <f>MIN(100,IF(F151&lt;=2,20,0)+IF(I151&lt;=2,25,0)+IF(G151&lt;N151,15,0)+IF(J151="Yes",20,0)+IF(H151&lt;5,10,0))</f>
        <v/>
      </c>
      <c r="P151" s="2">
        <f>IF(O151&gt;=70,"High",IF(O151&gt;=40,"Medium","Low"))</f>
        <v/>
      </c>
    </row>
    <row r="152">
      <c r="A152" s="2" t="inlineStr">
        <is>
          <t>EMP1152</t>
        </is>
      </c>
      <c r="B152" s="2" t="n">
        <v>33</v>
      </c>
      <c r="C152" s="2" t="inlineStr">
        <is>
          <t>F</t>
        </is>
      </c>
      <c r="D152" s="2" t="inlineStr">
        <is>
          <t>IT</t>
        </is>
      </c>
      <c r="E152" s="2" t="inlineStr">
        <is>
          <t>IT Support</t>
        </is>
      </c>
      <c r="F152" s="2" t="n">
        <v>11</v>
      </c>
      <c r="G152" s="3" t="n">
        <v>845000</v>
      </c>
      <c r="H152" s="2" t="n">
        <v>9</v>
      </c>
      <c r="I152" s="2" t="n">
        <v>3</v>
      </c>
      <c r="J152" s="2" t="inlineStr">
        <is>
          <t>Yes</t>
        </is>
      </c>
      <c r="K152" s="2" t="inlineStr">
        <is>
          <t>No</t>
        </is>
      </c>
      <c r="L152" s="3">
        <f>G152/12</f>
        <v/>
      </c>
      <c r="M152" s="2">
        <f>IF(F152&lt;=2,"0-2 yrs",IF(F152&lt;=5,"3-5 yrs",IF(F152&lt;=10,"6-10 yrs","10+ yrs")))</f>
        <v/>
      </c>
      <c r="N152" s="3">
        <f>MEDIANIFS($G$2:$G$201,$D$2:$D$201,D152)</f>
        <v/>
      </c>
      <c r="O152" s="2">
        <f>MIN(100,IF(F152&lt;=2,20,0)+IF(I152&lt;=2,25,0)+IF(G152&lt;N152,15,0)+IF(J152="Yes",20,0)+IF(H152&lt;5,10,0))</f>
        <v/>
      </c>
      <c r="P152" s="2">
        <f>IF(O152&gt;=70,"High",IF(O152&gt;=40,"Medium","Low"))</f>
        <v/>
      </c>
    </row>
    <row r="153">
      <c r="A153" s="2" t="inlineStr">
        <is>
          <t>EMP1153</t>
        </is>
      </c>
      <c r="B153" s="2" t="n">
        <v>43</v>
      </c>
      <c r="C153" s="2" t="inlineStr">
        <is>
          <t>M</t>
        </is>
      </c>
      <c r="D153" s="2" t="inlineStr">
        <is>
          <t>Operations</t>
        </is>
      </c>
      <c r="E153" s="2" t="inlineStr">
        <is>
          <t>Operations Executive</t>
        </is>
      </c>
      <c r="F153" s="2" t="n">
        <v>3.4</v>
      </c>
      <c r="G153" s="3" t="n">
        <v>915000</v>
      </c>
      <c r="H153" s="2" t="n">
        <v>34</v>
      </c>
      <c r="I153" s="2" t="n">
        <v>3</v>
      </c>
      <c r="J153" s="2" t="inlineStr">
        <is>
          <t>Yes</t>
        </is>
      </c>
      <c r="K153" s="2" t="inlineStr">
        <is>
          <t>No</t>
        </is>
      </c>
      <c r="L153" s="3">
        <f>G153/12</f>
        <v/>
      </c>
      <c r="M153" s="2">
        <f>IF(F153&lt;=2,"0-2 yrs",IF(F153&lt;=5,"3-5 yrs",IF(F153&lt;=10,"6-10 yrs","10+ yrs")))</f>
        <v/>
      </c>
      <c r="N153" s="3">
        <f>MEDIANIFS($G$2:$G$201,$D$2:$D$201,D153)</f>
        <v/>
      </c>
      <c r="O153" s="2">
        <f>MIN(100,IF(F153&lt;=2,20,0)+IF(I153&lt;=2,25,0)+IF(G153&lt;N153,15,0)+IF(J153="Yes",20,0)+IF(H153&lt;5,10,0))</f>
        <v/>
      </c>
      <c r="P153" s="2">
        <f>IF(O153&gt;=70,"High",IF(O153&gt;=40,"Medium","Low"))</f>
        <v/>
      </c>
    </row>
    <row r="154">
      <c r="A154" s="2" t="inlineStr">
        <is>
          <t>EMP1154</t>
        </is>
      </c>
      <c r="B154" s="2" t="n">
        <v>26</v>
      </c>
      <c r="C154" s="2" t="inlineStr">
        <is>
          <t>M</t>
        </is>
      </c>
      <c r="D154" s="2" t="inlineStr">
        <is>
          <t>Sales</t>
        </is>
      </c>
      <c r="E154" s="2" t="inlineStr">
        <is>
          <t>Business Development Executive</t>
        </is>
      </c>
      <c r="F154" s="2" t="n">
        <v>7.6</v>
      </c>
      <c r="G154" s="3" t="n">
        <v>1010000</v>
      </c>
      <c r="H154" s="2" t="n">
        <v>28</v>
      </c>
      <c r="I154" s="2" t="n">
        <v>4</v>
      </c>
      <c r="J154" s="2" t="inlineStr">
        <is>
          <t>Yes</t>
        </is>
      </c>
      <c r="K154" s="2" t="inlineStr">
        <is>
          <t>No</t>
        </is>
      </c>
      <c r="L154" s="3">
        <f>G154/12</f>
        <v/>
      </c>
      <c r="M154" s="2">
        <f>IF(F154&lt;=2,"0-2 yrs",IF(F154&lt;=5,"3-5 yrs",IF(F154&lt;=10,"6-10 yrs","10+ yrs")))</f>
        <v/>
      </c>
      <c r="N154" s="3">
        <f>MEDIANIFS($G$2:$G$201,$D$2:$D$201,D154)</f>
        <v/>
      </c>
      <c r="O154" s="2">
        <f>MIN(100,IF(F154&lt;=2,20,0)+IF(I154&lt;=2,25,0)+IF(G154&lt;N154,15,0)+IF(J154="Yes",20,0)+IF(H154&lt;5,10,0))</f>
        <v/>
      </c>
      <c r="P154" s="2">
        <f>IF(O154&gt;=70,"High",IF(O154&gt;=40,"Medium","Low"))</f>
        <v/>
      </c>
    </row>
    <row r="155">
      <c r="A155" s="2" t="inlineStr">
        <is>
          <t>EMP1155</t>
        </is>
      </c>
      <c r="B155" s="2" t="n">
        <v>27</v>
      </c>
      <c r="C155" s="2" t="inlineStr">
        <is>
          <t>F</t>
        </is>
      </c>
      <c r="D155" s="2" t="inlineStr">
        <is>
          <t>Operations</t>
        </is>
      </c>
      <c r="E155" s="2" t="inlineStr">
        <is>
          <t>Operations Manager</t>
        </is>
      </c>
      <c r="F155" s="2" t="n">
        <v>4.1</v>
      </c>
      <c r="G155" s="3" t="n">
        <v>275000</v>
      </c>
      <c r="H155" s="2" t="n">
        <v>5</v>
      </c>
      <c r="I155" s="2" t="n">
        <v>3</v>
      </c>
      <c r="J155" s="2" t="inlineStr">
        <is>
          <t>No</t>
        </is>
      </c>
      <c r="K155" s="2" t="inlineStr">
        <is>
          <t>No</t>
        </is>
      </c>
      <c r="L155" s="3">
        <f>G155/12</f>
        <v/>
      </c>
      <c r="M155" s="2">
        <f>IF(F155&lt;=2,"0-2 yrs",IF(F155&lt;=5,"3-5 yrs",IF(F155&lt;=10,"6-10 yrs","10+ yrs")))</f>
        <v/>
      </c>
      <c r="N155" s="3">
        <f>MEDIANIFS($G$2:$G$201,$D$2:$D$201,D155)</f>
        <v/>
      </c>
      <c r="O155" s="2">
        <f>MIN(100,IF(F155&lt;=2,20,0)+IF(I155&lt;=2,25,0)+IF(G155&lt;N155,15,0)+IF(J155="Yes",20,0)+IF(H155&lt;5,10,0))</f>
        <v/>
      </c>
      <c r="P155" s="2">
        <f>IF(O155&gt;=70,"High",IF(O155&gt;=40,"Medium","Low"))</f>
        <v/>
      </c>
    </row>
    <row r="156">
      <c r="A156" s="2" t="inlineStr">
        <is>
          <t>EMP1156</t>
        </is>
      </c>
      <c r="B156" s="2" t="n">
        <v>32</v>
      </c>
      <c r="C156" s="2" t="inlineStr">
        <is>
          <t>M</t>
        </is>
      </c>
      <c r="D156" s="2" t="inlineStr">
        <is>
          <t>Operations</t>
        </is>
      </c>
      <c r="E156" s="2" t="inlineStr">
        <is>
          <t>Process Analyst</t>
        </is>
      </c>
      <c r="F156" s="2" t="n">
        <v>10.1</v>
      </c>
      <c r="G156" s="3" t="n">
        <v>515000</v>
      </c>
      <c r="H156" s="2" t="n">
        <v>7</v>
      </c>
      <c r="I156" s="2" t="n">
        <v>3</v>
      </c>
      <c r="J156" s="2" t="inlineStr">
        <is>
          <t>Yes</t>
        </is>
      </c>
      <c r="K156" s="2" t="inlineStr">
        <is>
          <t>Yes</t>
        </is>
      </c>
      <c r="L156" s="3">
        <f>G156/12</f>
        <v/>
      </c>
      <c r="M156" s="2">
        <f>IF(F156&lt;=2,"0-2 yrs",IF(F156&lt;=5,"3-5 yrs",IF(F156&lt;=10,"6-10 yrs","10+ yrs")))</f>
        <v/>
      </c>
      <c r="N156" s="3">
        <f>MEDIANIFS($G$2:$G$201,$D$2:$D$201,D156)</f>
        <v/>
      </c>
      <c r="O156" s="2">
        <f>MIN(100,IF(F156&lt;=2,20,0)+IF(I156&lt;=2,25,0)+IF(G156&lt;N156,15,0)+IF(J156="Yes",20,0)+IF(H156&lt;5,10,0))</f>
        <v/>
      </c>
      <c r="P156" s="2">
        <f>IF(O156&gt;=70,"High",IF(O156&gt;=40,"Medium","Low"))</f>
        <v/>
      </c>
    </row>
    <row r="157">
      <c r="A157" s="2" t="inlineStr">
        <is>
          <t>EMP1157</t>
        </is>
      </c>
      <c r="B157" s="2" t="n">
        <v>35</v>
      </c>
      <c r="C157" s="2" t="inlineStr">
        <is>
          <t>F</t>
        </is>
      </c>
      <c r="D157" s="2" t="inlineStr">
        <is>
          <t>IT</t>
        </is>
      </c>
      <c r="E157" s="2" t="inlineStr">
        <is>
          <t>IT Support</t>
        </is>
      </c>
      <c r="F157" s="2" t="n">
        <v>5.6</v>
      </c>
      <c r="G157" s="3" t="n">
        <v>490000</v>
      </c>
      <c r="H157" s="2" t="n">
        <v>17</v>
      </c>
      <c r="I157" s="2" t="n">
        <v>3</v>
      </c>
      <c r="J157" s="2" t="inlineStr">
        <is>
          <t>No</t>
        </is>
      </c>
      <c r="K157" s="2" t="inlineStr">
        <is>
          <t>No</t>
        </is>
      </c>
      <c r="L157" s="3">
        <f>G157/12</f>
        <v/>
      </c>
      <c r="M157" s="2">
        <f>IF(F157&lt;=2,"0-2 yrs",IF(F157&lt;=5,"3-5 yrs",IF(F157&lt;=10,"6-10 yrs","10+ yrs")))</f>
        <v/>
      </c>
      <c r="N157" s="3">
        <f>MEDIANIFS($G$2:$G$201,$D$2:$D$201,D157)</f>
        <v/>
      </c>
      <c r="O157" s="2">
        <f>MIN(100,IF(F157&lt;=2,20,0)+IF(I157&lt;=2,25,0)+IF(G157&lt;N157,15,0)+IF(J157="Yes",20,0)+IF(H157&lt;5,10,0))</f>
        <v/>
      </c>
      <c r="P157" s="2">
        <f>IF(O157&gt;=70,"High",IF(O157&gt;=40,"Medium","Low"))</f>
        <v/>
      </c>
    </row>
    <row r="158">
      <c r="A158" s="2" t="inlineStr">
        <is>
          <t>EMP1158</t>
        </is>
      </c>
      <c r="B158" s="2" t="n">
        <v>25</v>
      </c>
      <c r="C158" s="2" t="inlineStr">
        <is>
          <t>M</t>
        </is>
      </c>
      <c r="D158" s="2" t="inlineStr">
        <is>
          <t>Marketing</t>
        </is>
      </c>
      <c r="E158" s="2" t="inlineStr">
        <is>
          <t>Marketing Executive</t>
        </is>
      </c>
      <c r="F158" s="2" t="n">
        <v>3.2</v>
      </c>
      <c r="G158" s="3" t="n">
        <v>665000</v>
      </c>
      <c r="H158" s="2" t="n">
        <v>0</v>
      </c>
      <c r="I158" s="2" t="n">
        <v>2</v>
      </c>
      <c r="J158" s="2" t="inlineStr">
        <is>
          <t>No</t>
        </is>
      </c>
      <c r="K158" s="2" t="inlineStr">
        <is>
          <t>Yes</t>
        </is>
      </c>
      <c r="L158" s="3">
        <f>G158/12</f>
        <v/>
      </c>
      <c r="M158" s="2">
        <f>IF(F158&lt;=2,"0-2 yrs",IF(F158&lt;=5,"3-5 yrs",IF(F158&lt;=10,"6-10 yrs","10+ yrs")))</f>
        <v/>
      </c>
      <c r="N158" s="3">
        <f>MEDIANIFS($G$2:$G$201,$D$2:$D$201,D158)</f>
        <v/>
      </c>
      <c r="O158" s="2">
        <f>MIN(100,IF(F158&lt;=2,20,0)+IF(I158&lt;=2,25,0)+IF(G158&lt;N158,15,0)+IF(J158="Yes",20,0)+IF(H158&lt;5,10,0))</f>
        <v/>
      </c>
      <c r="P158" s="2">
        <f>IF(O158&gt;=70,"High",IF(O158&gt;=40,"Medium","Low"))</f>
        <v/>
      </c>
    </row>
    <row r="159">
      <c r="A159" s="2" t="inlineStr">
        <is>
          <t>EMP1159</t>
        </is>
      </c>
      <c r="B159" s="2" t="n">
        <v>28</v>
      </c>
      <c r="C159" s="2" t="inlineStr">
        <is>
          <t>M</t>
        </is>
      </c>
      <c r="D159" s="2" t="inlineStr">
        <is>
          <t>Operations</t>
        </is>
      </c>
      <c r="E159" s="2" t="inlineStr">
        <is>
          <t>Process Analyst</t>
        </is>
      </c>
      <c r="F159" s="2" t="n">
        <v>11.6</v>
      </c>
      <c r="G159" s="3" t="n">
        <v>1160000</v>
      </c>
      <c r="H159" s="2" t="n">
        <v>21</v>
      </c>
      <c r="I159" s="2" t="n">
        <v>2</v>
      </c>
      <c r="J159" s="2" t="inlineStr">
        <is>
          <t>No</t>
        </is>
      </c>
      <c r="K159" s="2" t="inlineStr">
        <is>
          <t>Yes</t>
        </is>
      </c>
      <c r="L159" s="3">
        <f>G159/12</f>
        <v/>
      </c>
      <c r="M159" s="2">
        <f>IF(F159&lt;=2,"0-2 yrs",IF(F159&lt;=5,"3-5 yrs",IF(F159&lt;=10,"6-10 yrs","10+ yrs")))</f>
        <v/>
      </c>
      <c r="N159" s="3">
        <f>MEDIANIFS($G$2:$G$201,$D$2:$D$201,D159)</f>
        <v/>
      </c>
      <c r="O159" s="2">
        <f>MIN(100,IF(F159&lt;=2,20,0)+IF(I159&lt;=2,25,0)+IF(G159&lt;N159,15,0)+IF(J159="Yes",20,0)+IF(H159&lt;5,10,0))</f>
        <v/>
      </c>
      <c r="P159" s="2">
        <f>IF(O159&gt;=70,"High",IF(O159&gt;=40,"Medium","Low"))</f>
        <v/>
      </c>
    </row>
    <row r="160">
      <c r="A160" s="2" t="inlineStr">
        <is>
          <t>EMP1160</t>
        </is>
      </c>
      <c r="B160" s="2" t="n">
        <v>24</v>
      </c>
      <c r="C160" s="2" t="inlineStr">
        <is>
          <t>M</t>
        </is>
      </c>
      <c r="D160" s="2" t="inlineStr">
        <is>
          <t>Operations</t>
        </is>
      </c>
      <c r="E160" s="2" t="inlineStr">
        <is>
          <t>Operations Executive</t>
        </is>
      </c>
      <c r="F160" s="2" t="n">
        <v>11.8</v>
      </c>
      <c r="G160" s="3" t="n">
        <v>450000</v>
      </c>
      <c r="H160" s="2" t="n">
        <v>5</v>
      </c>
      <c r="I160" s="2" t="n">
        <v>3</v>
      </c>
      <c r="J160" s="2" t="inlineStr">
        <is>
          <t>No</t>
        </is>
      </c>
      <c r="K160" s="2" t="inlineStr">
        <is>
          <t>No</t>
        </is>
      </c>
      <c r="L160" s="3">
        <f>G160/12</f>
        <v/>
      </c>
      <c r="M160" s="2">
        <f>IF(F160&lt;=2,"0-2 yrs",IF(F160&lt;=5,"3-5 yrs",IF(F160&lt;=10,"6-10 yrs","10+ yrs")))</f>
        <v/>
      </c>
      <c r="N160" s="3">
        <f>MEDIANIFS($G$2:$G$201,$D$2:$D$201,D160)</f>
        <v/>
      </c>
      <c r="O160" s="2">
        <f>MIN(100,IF(F160&lt;=2,20,0)+IF(I160&lt;=2,25,0)+IF(G160&lt;N160,15,0)+IF(J160="Yes",20,0)+IF(H160&lt;5,10,0))</f>
        <v/>
      </c>
      <c r="P160" s="2">
        <f>IF(O160&gt;=70,"High",IF(O160&gt;=40,"Medium","Low"))</f>
        <v/>
      </c>
    </row>
    <row r="161">
      <c r="A161" s="2" t="inlineStr">
        <is>
          <t>EMP1161</t>
        </is>
      </c>
      <c r="B161" s="2" t="n">
        <v>26</v>
      </c>
      <c r="C161" s="2" t="inlineStr">
        <is>
          <t>M</t>
        </is>
      </c>
      <c r="D161" s="2" t="inlineStr">
        <is>
          <t>Customer Support</t>
        </is>
      </c>
      <c r="E161" s="2" t="inlineStr">
        <is>
          <t>Customer Success Associate</t>
        </is>
      </c>
      <c r="F161" s="2" t="n">
        <v>13.1</v>
      </c>
      <c r="G161" s="3" t="n">
        <v>705000</v>
      </c>
      <c r="H161" s="2" t="n">
        <v>17</v>
      </c>
      <c r="I161" s="2" t="n">
        <v>4</v>
      </c>
      <c r="J161" s="2" t="inlineStr">
        <is>
          <t>Yes</t>
        </is>
      </c>
      <c r="K161" s="2" t="inlineStr">
        <is>
          <t>No</t>
        </is>
      </c>
      <c r="L161" s="3">
        <f>G161/12</f>
        <v/>
      </c>
      <c r="M161" s="2">
        <f>IF(F161&lt;=2,"0-2 yrs",IF(F161&lt;=5,"3-5 yrs",IF(F161&lt;=10,"6-10 yrs","10+ yrs")))</f>
        <v/>
      </c>
      <c r="N161" s="3">
        <f>MEDIANIFS($G$2:$G$201,$D$2:$D$201,D161)</f>
        <v/>
      </c>
      <c r="O161" s="2">
        <f>MIN(100,IF(F161&lt;=2,20,0)+IF(I161&lt;=2,25,0)+IF(G161&lt;N161,15,0)+IF(J161="Yes",20,0)+IF(H161&lt;5,10,0))</f>
        <v/>
      </c>
      <c r="P161" s="2">
        <f>IF(O161&gt;=70,"High",IF(O161&gt;=40,"Medium","Low"))</f>
        <v/>
      </c>
    </row>
    <row r="162">
      <c r="A162" s="2" t="inlineStr">
        <is>
          <t>EMP1162</t>
        </is>
      </c>
      <c r="B162" s="2" t="n">
        <v>36</v>
      </c>
      <c r="C162" s="2" t="inlineStr">
        <is>
          <t>F</t>
        </is>
      </c>
      <c r="D162" s="2" t="inlineStr">
        <is>
          <t>Finance</t>
        </is>
      </c>
      <c r="E162" s="2" t="inlineStr">
        <is>
          <t>Financial Analyst</t>
        </is>
      </c>
      <c r="F162" s="2" t="n">
        <v>12.3</v>
      </c>
      <c r="G162" s="3" t="n">
        <v>585000</v>
      </c>
      <c r="H162" s="2" t="n">
        <v>14</v>
      </c>
      <c r="I162" s="2" t="n">
        <v>4</v>
      </c>
      <c r="J162" s="2" t="inlineStr">
        <is>
          <t>Yes</t>
        </is>
      </c>
      <c r="K162" s="2" t="inlineStr">
        <is>
          <t>Yes</t>
        </is>
      </c>
      <c r="L162" s="3">
        <f>G162/12</f>
        <v/>
      </c>
      <c r="M162" s="2">
        <f>IF(F162&lt;=2,"0-2 yrs",IF(F162&lt;=5,"3-5 yrs",IF(F162&lt;=10,"6-10 yrs","10+ yrs")))</f>
        <v/>
      </c>
      <c r="N162" s="3">
        <f>MEDIANIFS($G$2:$G$201,$D$2:$D$201,D162)</f>
        <v/>
      </c>
      <c r="O162" s="2">
        <f>MIN(100,IF(F162&lt;=2,20,0)+IF(I162&lt;=2,25,0)+IF(G162&lt;N162,15,0)+IF(J162="Yes",20,0)+IF(H162&lt;5,10,0))</f>
        <v/>
      </c>
      <c r="P162" s="2">
        <f>IF(O162&gt;=70,"High",IF(O162&gt;=40,"Medium","Low"))</f>
        <v/>
      </c>
    </row>
    <row r="163">
      <c r="A163" s="2" t="inlineStr">
        <is>
          <t>EMP1163</t>
        </is>
      </c>
      <c r="B163" s="2" t="n">
        <v>28</v>
      </c>
      <c r="C163" s="2" t="inlineStr">
        <is>
          <t>F</t>
        </is>
      </c>
      <c r="D163" s="2" t="inlineStr">
        <is>
          <t>Finance</t>
        </is>
      </c>
      <c r="E163" s="2" t="inlineStr">
        <is>
          <t>Financial Analyst</t>
        </is>
      </c>
      <c r="F163" s="2" t="n">
        <v>3.5</v>
      </c>
      <c r="G163" s="3" t="n">
        <v>885000</v>
      </c>
      <c r="H163" s="2" t="n">
        <v>22</v>
      </c>
      <c r="I163" s="2" t="n">
        <v>2</v>
      </c>
      <c r="J163" s="2" t="inlineStr">
        <is>
          <t>No</t>
        </is>
      </c>
      <c r="K163" s="2" t="inlineStr">
        <is>
          <t>No</t>
        </is>
      </c>
      <c r="L163" s="3">
        <f>G163/12</f>
        <v/>
      </c>
      <c r="M163" s="2">
        <f>IF(F163&lt;=2,"0-2 yrs",IF(F163&lt;=5,"3-5 yrs",IF(F163&lt;=10,"6-10 yrs","10+ yrs")))</f>
        <v/>
      </c>
      <c r="N163" s="3">
        <f>MEDIANIFS($G$2:$G$201,$D$2:$D$201,D163)</f>
        <v/>
      </c>
      <c r="O163" s="2">
        <f>MIN(100,IF(F163&lt;=2,20,0)+IF(I163&lt;=2,25,0)+IF(G163&lt;N163,15,0)+IF(J163="Yes",20,0)+IF(H163&lt;5,10,0))</f>
        <v/>
      </c>
      <c r="P163" s="2">
        <f>IF(O163&gt;=70,"High",IF(O163&gt;=40,"Medium","Low"))</f>
        <v/>
      </c>
    </row>
    <row r="164">
      <c r="A164" s="2" t="inlineStr">
        <is>
          <t>EMP1164</t>
        </is>
      </c>
      <c r="B164" s="2" t="n">
        <v>27</v>
      </c>
      <c r="C164" s="2" t="inlineStr">
        <is>
          <t>M</t>
        </is>
      </c>
      <c r="D164" s="2" t="inlineStr">
        <is>
          <t>Sales</t>
        </is>
      </c>
      <c r="E164" s="2" t="inlineStr">
        <is>
          <t>Sales Executive</t>
        </is>
      </c>
      <c r="F164" s="2" t="n">
        <v>9.199999999999999</v>
      </c>
      <c r="G164" s="3" t="n">
        <v>765000</v>
      </c>
      <c r="H164" s="2" t="n">
        <v>23</v>
      </c>
      <c r="I164" s="2" t="n">
        <v>2</v>
      </c>
      <c r="J164" s="2" t="inlineStr">
        <is>
          <t>No</t>
        </is>
      </c>
      <c r="K164" s="2" t="inlineStr">
        <is>
          <t>No</t>
        </is>
      </c>
      <c r="L164" s="3">
        <f>G164/12</f>
        <v/>
      </c>
      <c r="M164" s="2">
        <f>IF(F164&lt;=2,"0-2 yrs",IF(F164&lt;=5,"3-5 yrs",IF(F164&lt;=10,"6-10 yrs","10+ yrs")))</f>
        <v/>
      </c>
      <c r="N164" s="3">
        <f>MEDIANIFS($G$2:$G$201,$D$2:$D$201,D164)</f>
        <v/>
      </c>
      <c r="O164" s="2">
        <f>MIN(100,IF(F164&lt;=2,20,0)+IF(I164&lt;=2,25,0)+IF(G164&lt;N164,15,0)+IF(J164="Yes",20,0)+IF(H164&lt;5,10,0))</f>
        <v/>
      </c>
      <c r="P164" s="2">
        <f>IF(O164&gt;=70,"High",IF(O164&gt;=40,"Medium","Low"))</f>
        <v/>
      </c>
    </row>
    <row r="165">
      <c r="A165" s="2" t="inlineStr">
        <is>
          <t>EMP1165</t>
        </is>
      </c>
      <c r="B165" s="2" t="n">
        <v>36</v>
      </c>
      <c r="C165" s="2" t="inlineStr">
        <is>
          <t>F</t>
        </is>
      </c>
      <c r="D165" s="2" t="inlineStr">
        <is>
          <t>IT</t>
        </is>
      </c>
      <c r="E165" s="2" t="inlineStr">
        <is>
          <t>Software Engineer</t>
        </is>
      </c>
      <c r="F165" s="2" t="n">
        <v>1.4</v>
      </c>
      <c r="G165" s="3" t="n">
        <v>805000</v>
      </c>
      <c r="H165" s="2" t="n">
        <v>13</v>
      </c>
      <c r="I165" s="2" t="n">
        <v>1</v>
      </c>
      <c r="J165" s="2" t="inlineStr">
        <is>
          <t>Yes</t>
        </is>
      </c>
      <c r="K165" s="2" t="inlineStr">
        <is>
          <t>No</t>
        </is>
      </c>
      <c r="L165" s="3">
        <f>G165/12</f>
        <v/>
      </c>
      <c r="M165" s="2">
        <f>IF(F165&lt;=2,"0-2 yrs",IF(F165&lt;=5,"3-5 yrs",IF(F165&lt;=10,"6-10 yrs","10+ yrs")))</f>
        <v/>
      </c>
      <c r="N165" s="3">
        <f>MEDIANIFS($G$2:$G$201,$D$2:$D$201,D165)</f>
        <v/>
      </c>
      <c r="O165" s="2">
        <f>MIN(100,IF(F165&lt;=2,20,0)+IF(I165&lt;=2,25,0)+IF(G165&lt;N165,15,0)+IF(J165="Yes",20,0)+IF(H165&lt;5,10,0))</f>
        <v/>
      </c>
      <c r="P165" s="2">
        <f>IF(O165&gt;=70,"High",IF(O165&gt;=40,"Medium","Low"))</f>
        <v/>
      </c>
    </row>
    <row r="166">
      <c r="A166" s="2" t="inlineStr">
        <is>
          <t>EMP1166</t>
        </is>
      </c>
      <c r="B166" s="2" t="n">
        <v>23</v>
      </c>
      <c r="C166" s="2" t="inlineStr">
        <is>
          <t>M</t>
        </is>
      </c>
      <c r="D166" s="2" t="inlineStr">
        <is>
          <t>IT</t>
        </is>
      </c>
      <c r="E166" s="2" t="inlineStr">
        <is>
          <t>Data Analyst</t>
        </is>
      </c>
      <c r="F166" s="2" t="n">
        <v>5.9</v>
      </c>
      <c r="G166" s="3" t="n">
        <v>710000</v>
      </c>
      <c r="H166" s="2" t="n">
        <v>12</v>
      </c>
      <c r="I166" s="2" t="n">
        <v>2</v>
      </c>
      <c r="J166" s="2" t="inlineStr">
        <is>
          <t>Yes</t>
        </is>
      </c>
      <c r="K166" s="2" t="inlineStr">
        <is>
          <t>Yes</t>
        </is>
      </c>
      <c r="L166" s="3">
        <f>G166/12</f>
        <v/>
      </c>
      <c r="M166" s="2">
        <f>IF(F166&lt;=2,"0-2 yrs",IF(F166&lt;=5,"3-5 yrs",IF(F166&lt;=10,"6-10 yrs","10+ yrs")))</f>
        <v/>
      </c>
      <c r="N166" s="3">
        <f>MEDIANIFS($G$2:$G$201,$D$2:$D$201,D166)</f>
        <v/>
      </c>
      <c r="O166" s="2">
        <f>MIN(100,IF(F166&lt;=2,20,0)+IF(I166&lt;=2,25,0)+IF(G166&lt;N166,15,0)+IF(J166="Yes",20,0)+IF(H166&lt;5,10,0))</f>
        <v/>
      </c>
      <c r="P166" s="2">
        <f>IF(O166&gt;=70,"High",IF(O166&gt;=40,"Medium","Low"))</f>
        <v/>
      </c>
    </row>
    <row r="167">
      <c r="A167" s="2" t="inlineStr">
        <is>
          <t>EMP1167</t>
        </is>
      </c>
      <c r="B167" s="2" t="n">
        <v>28</v>
      </c>
      <c r="C167" s="2" t="inlineStr">
        <is>
          <t>M</t>
        </is>
      </c>
      <c r="D167" s="2" t="inlineStr">
        <is>
          <t>Marketing</t>
        </is>
      </c>
      <c r="E167" s="2" t="inlineStr">
        <is>
          <t>Brand Executive</t>
        </is>
      </c>
      <c r="F167" s="2" t="n">
        <v>1.1</v>
      </c>
      <c r="G167" s="3" t="n">
        <v>485000</v>
      </c>
      <c r="H167" s="2" t="n">
        <v>10</v>
      </c>
      <c r="I167" s="2" t="n">
        <v>2</v>
      </c>
      <c r="J167" s="2" t="inlineStr">
        <is>
          <t>Yes</t>
        </is>
      </c>
      <c r="K167" s="2" t="inlineStr">
        <is>
          <t>No</t>
        </is>
      </c>
      <c r="L167" s="3">
        <f>G167/12</f>
        <v/>
      </c>
      <c r="M167" s="2">
        <f>IF(F167&lt;=2,"0-2 yrs",IF(F167&lt;=5,"3-5 yrs",IF(F167&lt;=10,"6-10 yrs","10+ yrs")))</f>
        <v/>
      </c>
      <c r="N167" s="3">
        <f>MEDIANIFS($G$2:$G$201,$D$2:$D$201,D167)</f>
        <v/>
      </c>
      <c r="O167" s="2">
        <f>MIN(100,IF(F167&lt;=2,20,0)+IF(I167&lt;=2,25,0)+IF(G167&lt;N167,15,0)+IF(J167="Yes",20,0)+IF(H167&lt;5,10,0))</f>
        <v/>
      </c>
      <c r="P167" s="2">
        <f>IF(O167&gt;=70,"High",IF(O167&gt;=40,"Medium","Low"))</f>
        <v/>
      </c>
    </row>
    <row r="168">
      <c r="A168" s="2" t="inlineStr">
        <is>
          <t>EMP1168</t>
        </is>
      </c>
      <c r="B168" s="2" t="n">
        <v>28</v>
      </c>
      <c r="C168" s="2" t="inlineStr">
        <is>
          <t>F</t>
        </is>
      </c>
      <c r="D168" s="2" t="inlineStr">
        <is>
          <t>Operations</t>
        </is>
      </c>
      <c r="E168" s="2" t="inlineStr">
        <is>
          <t>Operations Manager</t>
        </is>
      </c>
      <c r="F168" s="2" t="n">
        <v>10.9</v>
      </c>
      <c r="G168" s="3" t="n">
        <v>940000</v>
      </c>
      <c r="H168" s="2" t="n">
        <v>6</v>
      </c>
      <c r="I168" s="2" t="n">
        <v>4</v>
      </c>
      <c r="J168" s="2" t="inlineStr">
        <is>
          <t>No</t>
        </is>
      </c>
      <c r="K168" s="2" t="inlineStr">
        <is>
          <t>No</t>
        </is>
      </c>
      <c r="L168" s="3">
        <f>G168/12</f>
        <v/>
      </c>
      <c r="M168" s="2">
        <f>IF(F168&lt;=2,"0-2 yrs",IF(F168&lt;=5,"3-5 yrs",IF(F168&lt;=10,"6-10 yrs","10+ yrs")))</f>
        <v/>
      </c>
      <c r="N168" s="3">
        <f>MEDIANIFS($G$2:$G$201,$D$2:$D$201,D168)</f>
        <v/>
      </c>
      <c r="O168" s="2">
        <f>MIN(100,IF(F168&lt;=2,20,0)+IF(I168&lt;=2,25,0)+IF(G168&lt;N168,15,0)+IF(J168="Yes",20,0)+IF(H168&lt;5,10,0))</f>
        <v/>
      </c>
      <c r="P168" s="2">
        <f>IF(O168&gt;=70,"High",IF(O168&gt;=40,"Medium","Low"))</f>
        <v/>
      </c>
    </row>
    <row r="169">
      <c r="A169" s="2" t="inlineStr">
        <is>
          <t>EMP1169</t>
        </is>
      </c>
      <c r="B169" s="2" t="n">
        <v>21</v>
      </c>
      <c r="C169" s="2" t="inlineStr">
        <is>
          <t>M</t>
        </is>
      </c>
      <c r="D169" s="2" t="inlineStr">
        <is>
          <t>HR</t>
        </is>
      </c>
      <c r="E169" s="2" t="inlineStr">
        <is>
          <t>HR Analyst</t>
        </is>
      </c>
      <c r="F169" s="2" t="n">
        <v>6.4</v>
      </c>
      <c r="G169" s="3" t="n">
        <v>735000</v>
      </c>
      <c r="H169" s="2" t="n">
        <v>31</v>
      </c>
      <c r="I169" s="2" t="n">
        <v>4</v>
      </c>
      <c r="J169" s="2" t="inlineStr">
        <is>
          <t>Yes</t>
        </is>
      </c>
      <c r="K169" s="2" t="inlineStr">
        <is>
          <t>No</t>
        </is>
      </c>
      <c r="L169" s="3">
        <f>G169/12</f>
        <v/>
      </c>
      <c r="M169" s="2">
        <f>IF(F169&lt;=2,"0-2 yrs",IF(F169&lt;=5,"3-5 yrs",IF(F169&lt;=10,"6-10 yrs","10+ yrs")))</f>
        <v/>
      </c>
      <c r="N169" s="3">
        <f>MEDIANIFS($G$2:$G$201,$D$2:$D$201,D169)</f>
        <v/>
      </c>
      <c r="O169" s="2">
        <f>MIN(100,IF(F169&lt;=2,20,0)+IF(I169&lt;=2,25,0)+IF(G169&lt;N169,15,0)+IF(J169="Yes",20,0)+IF(H169&lt;5,10,0))</f>
        <v/>
      </c>
      <c r="P169" s="2">
        <f>IF(O169&gt;=70,"High",IF(O169&gt;=40,"Medium","Low"))</f>
        <v/>
      </c>
    </row>
    <row r="170">
      <c r="A170" s="2" t="inlineStr">
        <is>
          <t>EMP1170</t>
        </is>
      </c>
      <c r="B170" s="2" t="n">
        <v>23</v>
      </c>
      <c r="C170" s="2" t="inlineStr">
        <is>
          <t>M</t>
        </is>
      </c>
      <c r="D170" s="2" t="inlineStr">
        <is>
          <t>IT</t>
        </is>
      </c>
      <c r="E170" s="2" t="inlineStr">
        <is>
          <t>Software Engineer</t>
        </is>
      </c>
      <c r="F170" s="2" t="n">
        <v>12.5</v>
      </c>
      <c r="G170" s="3" t="n">
        <v>760000</v>
      </c>
      <c r="H170" s="2" t="n">
        <v>19</v>
      </c>
      <c r="I170" s="2" t="n">
        <v>3</v>
      </c>
      <c r="J170" s="2" t="inlineStr">
        <is>
          <t>No</t>
        </is>
      </c>
      <c r="K170" s="2" t="inlineStr">
        <is>
          <t>No</t>
        </is>
      </c>
      <c r="L170" s="3">
        <f>G170/12</f>
        <v/>
      </c>
      <c r="M170" s="2">
        <f>IF(F170&lt;=2,"0-2 yrs",IF(F170&lt;=5,"3-5 yrs",IF(F170&lt;=10,"6-10 yrs","10+ yrs")))</f>
        <v/>
      </c>
      <c r="N170" s="3">
        <f>MEDIANIFS($G$2:$G$201,$D$2:$D$201,D170)</f>
        <v/>
      </c>
      <c r="O170" s="2">
        <f>MIN(100,IF(F170&lt;=2,20,0)+IF(I170&lt;=2,25,0)+IF(G170&lt;N170,15,0)+IF(J170="Yes",20,0)+IF(H170&lt;5,10,0))</f>
        <v/>
      </c>
      <c r="P170" s="2">
        <f>IF(O170&gt;=70,"High",IF(O170&gt;=40,"Medium","Low"))</f>
        <v/>
      </c>
    </row>
    <row r="171">
      <c r="A171" s="2" t="inlineStr">
        <is>
          <t>EMP1171</t>
        </is>
      </c>
      <c r="B171" s="2" t="n">
        <v>25</v>
      </c>
      <c r="C171" s="2" t="inlineStr">
        <is>
          <t>M</t>
        </is>
      </c>
      <c r="D171" s="2" t="inlineStr">
        <is>
          <t>Sales</t>
        </is>
      </c>
      <c r="E171" s="2" t="inlineStr">
        <is>
          <t>Sales Manager</t>
        </is>
      </c>
      <c r="F171" s="2" t="n">
        <v>2.4</v>
      </c>
      <c r="G171" s="3" t="n">
        <v>240000</v>
      </c>
      <c r="H171" s="2" t="n">
        <v>13</v>
      </c>
      <c r="I171" s="2" t="n">
        <v>3</v>
      </c>
      <c r="J171" s="2" t="inlineStr">
        <is>
          <t>No</t>
        </is>
      </c>
      <c r="K171" s="2" t="inlineStr">
        <is>
          <t>No</t>
        </is>
      </c>
      <c r="L171" s="3">
        <f>G171/12</f>
        <v/>
      </c>
      <c r="M171" s="2">
        <f>IF(F171&lt;=2,"0-2 yrs",IF(F171&lt;=5,"3-5 yrs",IF(F171&lt;=10,"6-10 yrs","10+ yrs")))</f>
        <v/>
      </c>
      <c r="N171" s="3">
        <f>MEDIANIFS($G$2:$G$201,$D$2:$D$201,D171)</f>
        <v/>
      </c>
      <c r="O171" s="2">
        <f>MIN(100,IF(F171&lt;=2,20,0)+IF(I171&lt;=2,25,0)+IF(G171&lt;N171,15,0)+IF(J171="Yes",20,0)+IF(H171&lt;5,10,0))</f>
        <v/>
      </c>
      <c r="P171" s="2">
        <f>IF(O171&gt;=70,"High",IF(O171&gt;=40,"Medium","Low"))</f>
        <v/>
      </c>
    </row>
    <row r="172">
      <c r="A172" s="2" t="inlineStr">
        <is>
          <t>EMP1172</t>
        </is>
      </c>
      <c r="B172" s="2" t="n">
        <v>26</v>
      </c>
      <c r="C172" s="2" t="inlineStr">
        <is>
          <t>F</t>
        </is>
      </c>
      <c r="D172" s="2" t="inlineStr">
        <is>
          <t>Operations</t>
        </is>
      </c>
      <c r="E172" s="2" t="inlineStr">
        <is>
          <t>Operations Executive</t>
        </is>
      </c>
      <c r="F172" s="2" t="n">
        <v>14.3</v>
      </c>
      <c r="G172" s="3" t="n">
        <v>875000</v>
      </c>
      <c r="H172" s="2" t="n">
        <v>21</v>
      </c>
      <c r="I172" s="2" t="n">
        <v>3</v>
      </c>
      <c r="J172" s="2" t="inlineStr">
        <is>
          <t>No</t>
        </is>
      </c>
      <c r="K172" s="2" t="inlineStr">
        <is>
          <t>No</t>
        </is>
      </c>
      <c r="L172" s="3">
        <f>G172/12</f>
        <v/>
      </c>
      <c r="M172" s="2">
        <f>IF(F172&lt;=2,"0-2 yrs",IF(F172&lt;=5,"3-5 yrs",IF(F172&lt;=10,"6-10 yrs","10+ yrs")))</f>
        <v/>
      </c>
      <c r="N172" s="3">
        <f>MEDIANIFS($G$2:$G$201,$D$2:$D$201,D172)</f>
        <v/>
      </c>
      <c r="O172" s="2">
        <f>MIN(100,IF(F172&lt;=2,20,0)+IF(I172&lt;=2,25,0)+IF(G172&lt;N172,15,0)+IF(J172="Yes",20,0)+IF(H172&lt;5,10,0))</f>
        <v/>
      </c>
      <c r="P172" s="2">
        <f>IF(O172&gt;=70,"High",IF(O172&gt;=40,"Medium","Low"))</f>
        <v/>
      </c>
    </row>
    <row r="173">
      <c r="A173" s="2" t="inlineStr">
        <is>
          <t>EMP1173</t>
        </is>
      </c>
      <c r="B173" s="2" t="n">
        <v>29</v>
      </c>
      <c r="C173" s="2" t="inlineStr">
        <is>
          <t>M</t>
        </is>
      </c>
      <c r="D173" s="2" t="inlineStr">
        <is>
          <t>Sales</t>
        </is>
      </c>
      <c r="E173" s="2" t="inlineStr">
        <is>
          <t>Sales Executive</t>
        </is>
      </c>
      <c r="F173" s="2" t="n">
        <v>5.9</v>
      </c>
      <c r="G173" s="3" t="n">
        <v>505000</v>
      </c>
      <c r="H173" s="2" t="n">
        <v>19</v>
      </c>
      <c r="I173" s="2" t="n">
        <v>3</v>
      </c>
      <c r="J173" s="2" t="inlineStr">
        <is>
          <t>Yes</t>
        </is>
      </c>
      <c r="K173" s="2" t="inlineStr">
        <is>
          <t>No</t>
        </is>
      </c>
      <c r="L173" s="3">
        <f>G173/12</f>
        <v/>
      </c>
      <c r="M173" s="2">
        <f>IF(F173&lt;=2,"0-2 yrs",IF(F173&lt;=5,"3-5 yrs",IF(F173&lt;=10,"6-10 yrs","10+ yrs")))</f>
        <v/>
      </c>
      <c r="N173" s="3">
        <f>MEDIANIFS($G$2:$G$201,$D$2:$D$201,D173)</f>
        <v/>
      </c>
      <c r="O173" s="2">
        <f>MIN(100,IF(F173&lt;=2,20,0)+IF(I173&lt;=2,25,0)+IF(G173&lt;N173,15,0)+IF(J173="Yes",20,0)+IF(H173&lt;5,10,0))</f>
        <v/>
      </c>
      <c r="P173" s="2">
        <f>IF(O173&gt;=70,"High",IF(O173&gt;=40,"Medium","Low"))</f>
        <v/>
      </c>
    </row>
    <row r="174">
      <c r="A174" s="2" t="inlineStr">
        <is>
          <t>EMP1174</t>
        </is>
      </c>
      <c r="B174" s="2" t="n">
        <v>28</v>
      </c>
      <c r="C174" s="2" t="inlineStr">
        <is>
          <t>M</t>
        </is>
      </c>
      <c r="D174" s="2" t="inlineStr">
        <is>
          <t>Sales</t>
        </is>
      </c>
      <c r="E174" s="2" t="inlineStr">
        <is>
          <t>Sales Executive</t>
        </is>
      </c>
      <c r="F174" s="2" t="n">
        <v>10.3</v>
      </c>
      <c r="G174" s="3" t="n">
        <v>690000</v>
      </c>
      <c r="H174" s="2" t="n">
        <v>4</v>
      </c>
      <c r="I174" s="2" t="n">
        <v>3</v>
      </c>
      <c r="J174" s="2" t="inlineStr">
        <is>
          <t>No</t>
        </is>
      </c>
      <c r="K174" s="2" t="inlineStr">
        <is>
          <t>No</t>
        </is>
      </c>
      <c r="L174" s="3">
        <f>G174/12</f>
        <v/>
      </c>
      <c r="M174" s="2">
        <f>IF(F174&lt;=2,"0-2 yrs",IF(F174&lt;=5,"3-5 yrs",IF(F174&lt;=10,"6-10 yrs","10+ yrs")))</f>
        <v/>
      </c>
      <c r="N174" s="3">
        <f>MEDIANIFS($G$2:$G$201,$D$2:$D$201,D174)</f>
        <v/>
      </c>
      <c r="O174" s="2">
        <f>MIN(100,IF(F174&lt;=2,20,0)+IF(I174&lt;=2,25,0)+IF(G174&lt;N174,15,0)+IF(J174="Yes",20,0)+IF(H174&lt;5,10,0))</f>
        <v/>
      </c>
      <c r="P174" s="2">
        <f>IF(O174&gt;=70,"High",IF(O174&gt;=40,"Medium","Low"))</f>
        <v/>
      </c>
    </row>
    <row r="175">
      <c r="A175" s="2" t="inlineStr">
        <is>
          <t>EMP1175</t>
        </is>
      </c>
      <c r="B175" s="2" t="n">
        <v>25</v>
      </c>
      <c r="C175" s="2" t="inlineStr">
        <is>
          <t>M</t>
        </is>
      </c>
      <c r="D175" s="2" t="inlineStr">
        <is>
          <t>Finance</t>
        </is>
      </c>
      <c r="E175" s="2" t="inlineStr">
        <is>
          <t>Financial Analyst</t>
        </is>
      </c>
      <c r="F175" s="2" t="n">
        <v>2.8</v>
      </c>
      <c r="G175" s="3" t="n">
        <v>470000</v>
      </c>
      <c r="H175" s="2" t="n">
        <v>16</v>
      </c>
      <c r="I175" s="2" t="n">
        <v>3</v>
      </c>
      <c r="J175" s="2" t="inlineStr">
        <is>
          <t>No</t>
        </is>
      </c>
      <c r="K175" s="2" t="inlineStr">
        <is>
          <t>No</t>
        </is>
      </c>
      <c r="L175" s="3">
        <f>G175/12</f>
        <v/>
      </c>
      <c r="M175" s="2">
        <f>IF(F175&lt;=2,"0-2 yrs",IF(F175&lt;=5,"3-5 yrs",IF(F175&lt;=10,"6-10 yrs","10+ yrs")))</f>
        <v/>
      </c>
      <c r="N175" s="3">
        <f>MEDIANIFS($G$2:$G$201,$D$2:$D$201,D175)</f>
        <v/>
      </c>
      <c r="O175" s="2">
        <f>MIN(100,IF(F175&lt;=2,20,0)+IF(I175&lt;=2,25,0)+IF(G175&lt;N175,15,0)+IF(J175="Yes",20,0)+IF(H175&lt;5,10,0))</f>
        <v/>
      </c>
      <c r="P175" s="2">
        <f>IF(O175&gt;=70,"High",IF(O175&gt;=40,"Medium","Low"))</f>
        <v/>
      </c>
    </row>
    <row r="176">
      <c r="A176" s="2" t="inlineStr">
        <is>
          <t>EMP1176</t>
        </is>
      </c>
      <c r="B176" s="2" t="n">
        <v>25</v>
      </c>
      <c r="C176" s="2" t="inlineStr">
        <is>
          <t>M</t>
        </is>
      </c>
      <c r="D176" s="2" t="inlineStr">
        <is>
          <t>Finance</t>
        </is>
      </c>
      <c r="E176" s="2" t="inlineStr">
        <is>
          <t>Accountant</t>
        </is>
      </c>
      <c r="F176" s="2" t="n">
        <v>14.6</v>
      </c>
      <c r="G176" s="3" t="n">
        <v>455000</v>
      </c>
      <c r="H176" s="2" t="n">
        <v>12</v>
      </c>
      <c r="I176" s="2" t="n">
        <v>5</v>
      </c>
      <c r="J176" s="2" t="inlineStr">
        <is>
          <t>No</t>
        </is>
      </c>
      <c r="K176" s="2" t="inlineStr">
        <is>
          <t>No</t>
        </is>
      </c>
      <c r="L176" s="3">
        <f>G176/12</f>
        <v/>
      </c>
      <c r="M176" s="2">
        <f>IF(F176&lt;=2,"0-2 yrs",IF(F176&lt;=5,"3-5 yrs",IF(F176&lt;=10,"6-10 yrs","10+ yrs")))</f>
        <v/>
      </c>
      <c r="N176" s="3">
        <f>MEDIANIFS($G$2:$G$201,$D$2:$D$201,D176)</f>
        <v/>
      </c>
      <c r="O176" s="2">
        <f>MIN(100,IF(F176&lt;=2,20,0)+IF(I176&lt;=2,25,0)+IF(G176&lt;N176,15,0)+IF(J176="Yes",20,0)+IF(H176&lt;5,10,0))</f>
        <v/>
      </c>
      <c r="P176" s="2">
        <f>IF(O176&gt;=70,"High",IF(O176&gt;=40,"Medium","Low"))</f>
        <v/>
      </c>
    </row>
    <row r="177">
      <c r="A177" s="2" t="inlineStr">
        <is>
          <t>EMP1177</t>
        </is>
      </c>
      <c r="B177" s="2" t="n">
        <v>31</v>
      </c>
      <c r="C177" s="2" t="inlineStr">
        <is>
          <t>F</t>
        </is>
      </c>
      <c r="D177" s="2" t="inlineStr">
        <is>
          <t>Customer Support</t>
        </is>
      </c>
      <c r="E177" s="2" t="inlineStr">
        <is>
          <t>Support Analyst</t>
        </is>
      </c>
      <c r="F177" s="2" t="n">
        <v>9.1</v>
      </c>
      <c r="G177" s="3" t="n">
        <v>1165000</v>
      </c>
      <c r="H177" s="2" t="n">
        <v>22</v>
      </c>
      <c r="I177" s="2" t="n">
        <v>2</v>
      </c>
      <c r="J177" s="2" t="inlineStr">
        <is>
          <t>Yes</t>
        </is>
      </c>
      <c r="K177" s="2" t="inlineStr">
        <is>
          <t>Yes</t>
        </is>
      </c>
      <c r="L177" s="3">
        <f>G177/12</f>
        <v/>
      </c>
      <c r="M177" s="2">
        <f>IF(F177&lt;=2,"0-2 yrs",IF(F177&lt;=5,"3-5 yrs",IF(F177&lt;=10,"6-10 yrs","10+ yrs")))</f>
        <v/>
      </c>
      <c r="N177" s="3">
        <f>MEDIANIFS($G$2:$G$201,$D$2:$D$201,D177)</f>
        <v/>
      </c>
      <c r="O177" s="2">
        <f>MIN(100,IF(F177&lt;=2,20,0)+IF(I177&lt;=2,25,0)+IF(G177&lt;N177,15,0)+IF(J177="Yes",20,0)+IF(H177&lt;5,10,0))</f>
        <v/>
      </c>
      <c r="P177" s="2">
        <f>IF(O177&gt;=70,"High",IF(O177&gt;=40,"Medium","Low"))</f>
        <v/>
      </c>
    </row>
    <row r="178">
      <c r="A178" s="2" t="inlineStr">
        <is>
          <t>EMP1178</t>
        </is>
      </c>
      <c r="B178" s="2" t="n">
        <v>36</v>
      </c>
      <c r="C178" s="2" t="inlineStr">
        <is>
          <t>M</t>
        </is>
      </c>
      <c r="D178" s="2" t="inlineStr">
        <is>
          <t>Sales</t>
        </is>
      </c>
      <c r="E178" s="2" t="inlineStr">
        <is>
          <t>Sales Manager</t>
        </is>
      </c>
      <c r="F178" s="2" t="n">
        <v>1.6</v>
      </c>
      <c r="G178" s="3" t="n">
        <v>240000</v>
      </c>
      <c r="H178" s="2" t="n">
        <v>15</v>
      </c>
      <c r="I178" s="2" t="n">
        <v>4</v>
      </c>
      <c r="J178" s="2" t="inlineStr">
        <is>
          <t>No</t>
        </is>
      </c>
      <c r="K178" s="2" t="inlineStr">
        <is>
          <t>No</t>
        </is>
      </c>
      <c r="L178" s="3">
        <f>G178/12</f>
        <v/>
      </c>
      <c r="M178" s="2">
        <f>IF(F178&lt;=2,"0-2 yrs",IF(F178&lt;=5,"3-5 yrs",IF(F178&lt;=10,"6-10 yrs","10+ yrs")))</f>
        <v/>
      </c>
      <c r="N178" s="3">
        <f>MEDIANIFS($G$2:$G$201,$D$2:$D$201,D178)</f>
        <v/>
      </c>
      <c r="O178" s="2">
        <f>MIN(100,IF(F178&lt;=2,20,0)+IF(I178&lt;=2,25,0)+IF(G178&lt;N178,15,0)+IF(J178="Yes",20,0)+IF(H178&lt;5,10,0))</f>
        <v/>
      </c>
      <c r="P178" s="2">
        <f>IF(O178&gt;=70,"High",IF(O178&gt;=40,"Medium","Low"))</f>
        <v/>
      </c>
    </row>
    <row r="179">
      <c r="A179" s="2" t="inlineStr">
        <is>
          <t>EMP1179</t>
        </is>
      </c>
      <c r="B179" s="2" t="n">
        <v>29</v>
      </c>
      <c r="C179" s="2" t="inlineStr">
        <is>
          <t>F</t>
        </is>
      </c>
      <c r="D179" s="2" t="inlineStr">
        <is>
          <t>Operations</t>
        </is>
      </c>
      <c r="E179" s="2" t="inlineStr">
        <is>
          <t>Operations Executive</t>
        </is>
      </c>
      <c r="F179" s="2" t="n">
        <v>12.9</v>
      </c>
      <c r="G179" s="3" t="n">
        <v>1115000</v>
      </c>
      <c r="H179" s="2" t="n">
        <v>24</v>
      </c>
      <c r="I179" s="2" t="n">
        <v>2</v>
      </c>
      <c r="J179" s="2" t="inlineStr">
        <is>
          <t>No</t>
        </is>
      </c>
      <c r="K179" s="2" t="inlineStr">
        <is>
          <t>No</t>
        </is>
      </c>
      <c r="L179" s="3">
        <f>G179/12</f>
        <v/>
      </c>
      <c r="M179" s="2">
        <f>IF(F179&lt;=2,"0-2 yrs",IF(F179&lt;=5,"3-5 yrs",IF(F179&lt;=10,"6-10 yrs","10+ yrs")))</f>
        <v/>
      </c>
      <c r="N179" s="3">
        <f>MEDIANIFS($G$2:$G$201,$D$2:$D$201,D179)</f>
        <v/>
      </c>
      <c r="O179" s="2">
        <f>MIN(100,IF(F179&lt;=2,20,0)+IF(I179&lt;=2,25,0)+IF(G179&lt;N179,15,0)+IF(J179="Yes",20,0)+IF(H179&lt;5,10,0))</f>
        <v/>
      </c>
      <c r="P179" s="2">
        <f>IF(O179&gt;=70,"High",IF(O179&gt;=40,"Medium","Low"))</f>
        <v/>
      </c>
    </row>
    <row r="180">
      <c r="A180" s="2" t="inlineStr">
        <is>
          <t>EMP1180</t>
        </is>
      </c>
      <c r="B180" s="2" t="n">
        <v>30</v>
      </c>
      <c r="C180" s="2" t="inlineStr">
        <is>
          <t>F</t>
        </is>
      </c>
      <c r="D180" s="2" t="inlineStr">
        <is>
          <t>Sales</t>
        </is>
      </c>
      <c r="E180" s="2" t="inlineStr">
        <is>
          <t>Sales Executive</t>
        </is>
      </c>
      <c r="F180" s="2" t="n">
        <v>2.9</v>
      </c>
      <c r="G180" s="3" t="n">
        <v>565000</v>
      </c>
      <c r="H180" s="2" t="n">
        <v>17</v>
      </c>
      <c r="I180" s="2" t="n">
        <v>4</v>
      </c>
      <c r="J180" s="2" t="inlineStr">
        <is>
          <t>No</t>
        </is>
      </c>
      <c r="K180" s="2" t="inlineStr">
        <is>
          <t>No</t>
        </is>
      </c>
      <c r="L180" s="3">
        <f>G180/12</f>
        <v/>
      </c>
      <c r="M180" s="2">
        <f>IF(F180&lt;=2,"0-2 yrs",IF(F180&lt;=5,"3-5 yrs",IF(F180&lt;=10,"6-10 yrs","10+ yrs")))</f>
        <v/>
      </c>
      <c r="N180" s="3">
        <f>MEDIANIFS($G$2:$G$201,$D$2:$D$201,D180)</f>
        <v/>
      </c>
      <c r="O180" s="2">
        <f>MIN(100,IF(F180&lt;=2,20,0)+IF(I180&lt;=2,25,0)+IF(G180&lt;N180,15,0)+IF(J180="Yes",20,0)+IF(H180&lt;5,10,0))</f>
        <v/>
      </c>
      <c r="P180" s="2">
        <f>IF(O180&gt;=70,"High",IF(O180&gt;=40,"Medium","Low"))</f>
        <v/>
      </c>
    </row>
    <row r="181">
      <c r="A181" s="2" t="inlineStr">
        <is>
          <t>EMP1181</t>
        </is>
      </c>
      <c r="B181" s="2" t="n">
        <v>30</v>
      </c>
      <c r="C181" s="2" t="inlineStr">
        <is>
          <t>F</t>
        </is>
      </c>
      <c r="D181" s="2" t="inlineStr">
        <is>
          <t>Sales</t>
        </is>
      </c>
      <c r="E181" s="2" t="inlineStr">
        <is>
          <t>Business Development Executive</t>
        </is>
      </c>
      <c r="F181" s="2" t="n">
        <v>12.6</v>
      </c>
      <c r="G181" s="3" t="n">
        <v>825000</v>
      </c>
      <c r="H181" s="2" t="n">
        <v>26</v>
      </c>
      <c r="I181" s="2" t="n">
        <v>4</v>
      </c>
      <c r="J181" s="2" t="inlineStr">
        <is>
          <t>Yes</t>
        </is>
      </c>
      <c r="K181" s="2" t="inlineStr">
        <is>
          <t>Yes</t>
        </is>
      </c>
      <c r="L181" s="3">
        <f>G181/12</f>
        <v/>
      </c>
      <c r="M181" s="2">
        <f>IF(F181&lt;=2,"0-2 yrs",IF(F181&lt;=5,"3-5 yrs",IF(F181&lt;=10,"6-10 yrs","10+ yrs")))</f>
        <v/>
      </c>
      <c r="N181" s="3">
        <f>MEDIANIFS($G$2:$G$201,$D$2:$D$201,D181)</f>
        <v/>
      </c>
      <c r="O181" s="2">
        <f>MIN(100,IF(F181&lt;=2,20,0)+IF(I181&lt;=2,25,0)+IF(G181&lt;N181,15,0)+IF(J181="Yes",20,0)+IF(H181&lt;5,10,0))</f>
        <v/>
      </c>
      <c r="P181" s="2">
        <f>IF(O181&gt;=70,"High",IF(O181&gt;=40,"Medium","Low"))</f>
        <v/>
      </c>
    </row>
    <row r="182">
      <c r="A182" s="2" t="inlineStr">
        <is>
          <t>EMP1182</t>
        </is>
      </c>
      <c r="B182" s="2" t="n">
        <v>29</v>
      </c>
      <c r="C182" s="2" t="inlineStr">
        <is>
          <t>M</t>
        </is>
      </c>
      <c r="D182" s="2" t="inlineStr">
        <is>
          <t>HR</t>
        </is>
      </c>
      <c r="E182" s="2" t="inlineStr">
        <is>
          <t>HR Analyst</t>
        </is>
      </c>
      <c r="F182" s="2" t="n">
        <v>8.699999999999999</v>
      </c>
      <c r="G182" s="3" t="n">
        <v>870000</v>
      </c>
      <c r="H182" s="2" t="n">
        <v>15</v>
      </c>
      <c r="I182" s="2" t="n">
        <v>4</v>
      </c>
      <c r="J182" s="2" t="inlineStr">
        <is>
          <t>Yes</t>
        </is>
      </c>
      <c r="K182" s="2" t="inlineStr">
        <is>
          <t>No</t>
        </is>
      </c>
      <c r="L182" s="3">
        <f>G182/12</f>
        <v/>
      </c>
      <c r="M182" s="2">
        <f>IF(F182&lt;=2,"0-2 yrs",IF(F182&lt;=5,"3-5 yrs",IF(F182&lt;=10,"6-10 yrs","10+ yrs")))</f>
        <v/>
      </c>
      <c r="N182" s="3">
        <f>MEDIANIFS($G$2:$G$201,$D$2:$D$201,D182)</f>
        <v/>
      </c>
      <c r="O182" s="2">
        <f>MIN(100,IF(F182&lt;=2,20,0)+IF(I182&lt;=2,25,0)+IF(G182&lt;N182,15,0)+IF(J182="Yes",20,0)+IF(H182&lt;5,10,0))</f>
        <v/>
      </c>
      <c r="P182" s="2">
        <f>IF(O182&gt;=70,"High",IF(O182&gt;=40,"Medium","Low"))</f>
        <v/>
      </c>
    </row>
    <row r="183">
      <c r="A183" s="2" t="inlineStr">
        <is>
          <t>EMP1183</t>
        </is>
      </c>
      <c r="B183" s="2" t="n">
        <v>25</v>
      </c>
      <c r="C183" s="2" t="inlineStr">
        <is>
          <t>M</t>
        </is>
      </c>
      <c r="D183" s="2" t="inlineStr">
        <is>
          <t>Operations</t>
        </is>
      </c>
      <c r="E183" s="2" t="inlineStr">
        <is>
          <t>Operations Executive</t>
        </is>
      </c>
      <c r="F183" s="2" t="n">
        <v>9.300000000000001</v>
      </c>
      <c r="G183" s="3" t="n">
        <v>800000</v>
      </c>
      <c r="H183" s="2" t="n">
        <v>0</v>
      </c>
      <c r="I183" s="2" t="n">
        <v>3</v>
      </c>
      <c r="J183" s="2" t="inlineStr">
        <is>
          <t>No</t>
        </is>
      </c>
      <c r="K183" s="2" t="inlineStr">
        <is>
          <t>No</t>
        </is>
      </c>
      <c r="L183" s="3">
        <f>G183/12</f>
        <v/>
      </c>
      <c r="M183" s="2">
        <f>IF(F183&lt;=2,"0-2 yrs",IF(F183&lt;=5,"3-5 yrs",IF(F183&lt;=10,"6-10 yrs","10+ yrs")))</f>
        <v/>
      </c>
      <c r="N183" s="3">
        <f>MEDIANIFS($G$2:$G$201,$D$2:$D$201,D183)</f>
        <v/>
      </c>
      <c r="O183" s="2">
        <f>MIN(100,IF(F183&lt;=2,20,0)+IF(I183&lt;=2,25,0)+IF(G183&lt;N183,15,0)+IF(J183="Yes",20,0)+IF(H183&lt;5,10,0))</f>
        <v/>
      </c>
      <c r="P183" s="2">
        <f>IF(O183&gt;=70,"High",IF(O183&gt;=40,"Medium","Low"))</f>
        <v/>
      </c>
    </row>
    <row r="184">
      <c r="A184" s="2" t="inlineStr">
        <is>
          <t>EMP1184</t>
        </is>
      </c>
      <c r="B184" s="2" t="n">
        <v>35</v>
      </c>
      <c r="C184" s="2" t="inlineStr">
        <is>
          <t>F</t>
        </is>
      </c>
      <c r="D184" s="2" t="inlineStr">
        <is>
          <t>Operations</t>
        </is>
      </c>
      <c r="E184" s="2" t="inlineStr">
        <is>
          <t>Operations Manager</t>
        </is>
      </c>
      <c r="F184" s="2" t="n">
        <v>0.4</v>
      </c>
      <c r="G184" s="3" t="n">
        <v>825000</v>
      </c>
      <c r="H184" s="2" t="n">
        <v>16</v>
      </c>
      <c r="I184" s="2" t="n">
        <v>3</v>
      </c>
      <c r="J184" s="2" t="inlineStr">
        <is>
          <t>Yes</t>
        </is>
      </c>
      <c r="K184" s="2" t="inlineStr">
        <is>
          <t>No</t>
        </is>
      </c>
      <c r="L184" s="3">
        <f>G184/12</f>
        <v/>
      </c>
      <c r="M184" s="2">
        <f>IF(F184&lt;=2,"0-2 yrs",IF(F184&lt;=5,"3-5 yrs",IF(F184&lt;=10,"6-10 yrs","10+ yrs")))</f>
        <v/>
      </c>
      <c r="N184" s="3">
        <f>MEDIANIFS($G$2:$G$201,$D$2:$D$201,D184)</f>
        <v/>
      </c>
      <c r="O184" s="2">
        <f>MIN(100,IF(F184&lt;=2,20,0)+IF(I184&lt;=2,25,0)+IF(G184&lt;N184,15,0)+IF(J184="Yes",20,0)+IF(H184&lt;5,10,0))</f>
        <v/>
      </c>
      <c r="P184" s="2">
        <f>IF(O184&gt;=70,"High",IF(O184&gt;=40,"Medium","Low"))</f>
        <v/>
      </c>
    </row>
    <row r="185">
      <c r="A185" s="2" t="inlineStr">
        <is>
          <t>EMP1185</t>
        </is>
      </c>
      <c r="B185" s="2" t="n">
        <v>38</v>
      </c>
      <c r="C185" s="2" t="inlineStr">
        <is>
          <t>M</t>
        </is>
      </c>
      <c r="D185" s="2" t="inlineStr">
        <is>
          <t>Marketing</t>
        </is>
      </c>
      <c r="E185" s="2" t="inlineStr">
        <is>
          <t>Digital Marketing Analyst</t>
        </is>
      </c>
      <c r="F185" s="2" t="n">
        <v>11.7</v>
      </c>
      <c r="G185" s="3" t="n">
        <v>335000</v>
      </c>
      <c r="H185" s="2" t="n">
        <v>0</v>
      </c>
      <c r="I185" s="2" t="n">
        <v>4</v>
      </c>
      <c r="J185" s="2" t="inlineStr">
        <is>
          <t>Yes</t>
        </is>
      </c>
      <c r="K185" s="2" t="inlineStr">
        <is>
          <t>No</t>
        </is>
      </c>
      <c r="L185" s="3">
        <f>G185/12</f>
        <v/>
      </c>
      <c r="M185" s="2">
        <f>IF(F185&lt;=2,"0-2 yrs",IF(F185&lt;=5,"3-5 yrs",IF(F185&lt;=10,"6-10 yrs","10+ yrs")))</f>
        <v/>
      </c>
      <c r="N185" s="3">
        <f>MEDIANIFS($G$2:$G$201,$D$2:$D$201,D185)</f>
        <v/>
      </c>
      <c r="O185" s="2">
        <f>MIN(100,IF(F185&lt;=2,20,0)+IF(I185&lt;=2,25,0)+IF(G185&lt;N185,15,0)+IF(J185="Yes",20,0)+IF(H185&lt;5,10,0))</f>
        <v/>
      </c>
      <c r="P185" s="2">
        <f>IF(O185&gt;=70,"High",IF(O185&gt;=40,"Medium","Low"))</f>
        <v/>
      </c>
    </row>
    <row r="186">
      <c r="A186" s="2" t="inlineStr">
        <is>
          <t>EMP1186</t>
        </is>
      </c>
      <c r="B186" s="2" t="n">
        <v>32</v>
      </c>
      <c r="C186" s="2" t="inlineStr">
        <is>
          <t>M</t>
        </is>
      </c>
      <c r="D186" s="2" t="inlineStr">
        <is>
          <t>IT</t>
        </is>
      </c>
      <c r="E186" s="2" t="inlineStr">
        <is>
          <t>Data Analyst</t>
        </is>
      </c>
      <c r="F186" s="2" t="n">
        <v>12</v>
      </c>
      <c r="G186" s="3" t="n">
        <v>465000</v>
      </c>
      <c r="H186" s="2" t="n">
        <v>12</v>
      </c>
      <c r="I186" s="2" t="n">
        <v>2</v>
      </c>
      <c r="J186" s="2" t="inlineStr">
        <is>
          <t>No</t>
        </is>
      </c>
      <c r="K186" s="2" t="inlineStr">
        <is>
          <t>Yes</t>
        </is>
      </c>
      <c r="L186" s="3">
        <f>G186/12</f>
        <v/>
      </c>
      <c r="M186" s="2">
        <f>IF(F186&lt;=2,"0-2 yrs",IF(F186&lt;=5,"3-5 yrs",IF(F186&lt;=10,"6-10 yrs","10+ yrs")))</f>
        <v/>
      </c>
      <c r="N186" s="3">
        <f>MEDIANIFS($G$2:$G$201,$D$2:$D$201,D186)</f>
        <v/>
      </c>
      <c r="O186" s="2">
        <f>MIN(100,IF(F186&lt;=2,20,0)+IF(I186&lt;=2,25,0)+IF(G186&lt;N186,15,0)+IF(J186="Yes",20,0)+IF(H186&lt;5,10,0))</f>
        <v/>
      </c>
      <c r="P186" s="2">
        <f>IF(O186&gt;=70,"High",IF(O186&gt;=40,"Medium","Low"))</f>
        <v/>
      </c>
    </row>
    <row r="187">
      <c r="A187" s="2" t="inlineStr">
        <is>
          <t>EMP1187</t>
        </is>
      </c>
      <c r="B187" s="2" t="n">
        <v>32</v>
      </c>
      <c r="C187" s="2" t="inlineStr">
        <is>
          <t>F</t>
        </is>
      </c>
      <c r="D187" s="2" t="inlineStr">
        <is>
          <t>Sales</t>
        </is>
      </c>
      <c r="E187" s="2" t="inlineStr">
        <is>
          <t>Business Development Executive</t>
        </is>
      </c>
      <c r="F187" s="2" t="n">
        <v>9.1</v>
      </c>
      <c r="G187" s="3" t="n">
        <v>465000</v>
      </c>
      <c r="H187" s="2" t="n">
        <v>17</v>
      </c>
      <c r="I187" s="2" t="n">
        <v>1</v>
      </c>
      <c r="J187" s="2" t="inlineStr">
        <is>
          <t>Yes</t>
        </is>
      </c>
      <c r="K187" s="2" t="inlineStr">
        <is>
          <t>No</t>
        </is>
      </c>
      <c r="L187" s="3">
        <f>G187/12</f>
        <v/>
      </c>
      <c r="M187" s="2">
        <f>IF(F187&lt;=2,"0-2 yrs",IF(F187&lt;=5,"3-5 yrs",IF(F187&lt;=10,"6-10 yrs","10+ yrs")))</f>
        <v/>
      </c>
      <c r="N187" s="3">
        <f>MEDIANIFS($G$2:$G$201,$D$2:$D$201,D187)</f>
        <v/>
      </c>
      <c r="O187" s="2">
        <f>MIN(100,IF(F187&lt;=2,20,0)+IF(I187&lt;=2,25,0)+IF(G187&lt;N187,15,0)+IF(J187="Yes",20,0)+IF(H187&lt;5,10,0))</f>
        <v/>
      </c>
      <c r="P187" s="2">
        <f>IF(O187&gt;=70,"High",IF(O187&gt;=40,"Medium","Low"))</f>
        <v/>
      </c>
    </row>
    <row r="188">
      <c r="A188" s="2" t="inlineStr">
        <is>
          <t>EMP1188</t>
        </is>
      </c>
      <c r="B188" s="2" t="n">
        <v>21</v>
      </c>
      <c r="C188" s="2" t="inlineStr">
        <is>
          <t>M</t>
        </is>
      </c>
      <c r="D188" s="2" t="inlineStr">
        <is>
          <t>Marketing</t>
        </is>
      </c>
      <c r="E188" s="2" t="inlineStr">
        <is>
          <t>Brand Executive</t>
        </is>
      </c>
      <c r="F188" s="2" t="n">
        <v>11.9</v>
      </c>
      <c r="G188" s="3" t="n">
        <v>825000</v>
      </c>
      <c r="H188" s="2" t="n">
        <v>9</v>
      </c>
      <c r="I188" s="2" t="n">
        <v>3</v>
      </c>
      <c r="J188" s="2" t="inlineStr">
        <is>
          <t>Yes</t>
        </is>
      </c>
      <c r="K188" s="2" t="inlineStr">
        <is>
          <t>No</t>
        </is>
      </c>
      <c r="L188" s="3">
        <f>G188/12</f>
        <v/>
      </c>
      <c r="M188" s="2">
        <f>IF(F188&lt;=2,"0-2 yrs",IF(F188&lt;=5,"3-5 yrs",IF(F188&lt;=10,"6-10 yrs","10+ yrs")))</f>
        <v/>
      </c>
      <c r="N188" s="3">
        <f>MEDIANIFS($G$2:$G$201,$D$2:$D$201,D188)</f>
        <v/>
      </c>
      <c r="O188" s="2">
        <f>MIN(100,IF(F188&lt;=2,20,0)+IF(I188&lt;=2,25,0)+IF(G188&lt;N188,15,0)+IF(J188="Yes",20,0)+IF(H188&lt;5,10,0))</f>
        <v/>
      </c>
      <c r="P188" s="2">
        <f>IF(O188&gt;=70,"High",IF(O188&gt;=40,"Medium","Low"))</f>
        <v/>
      </c>
    </row>
    <row r="189">
      <c r="A189" s="2" t="inlineStr">
        <is>
          <t>EMP1189</t>
        </is>
      </c>
      <c r="B189" s="2" t="n">
        <v>35</v>
      </c>
      <c r="C189" s="2" t="inlineStr">
        <is>
          <t>M</t>
        </is>
      </c>
      <c r="D189" s="2" t="inlineStr">
        <is>
          <t>Operations</t>
        </is>
      </c>
      <c r="E189" s="2" t="inlineStr">
        <is>
          <t>Operations Executive</t>
        </is>
      </c>
      <c r="F189" s="2" t="n">
        <v>11.1</v>
      </c>
      <c r="G189" s="3" t="n">
        <v>1055000</v>
      </c>
      <c r="H189" s="2" t="n">
        <v>7</v>
      </c>
      <c r="I189" s="2" t="n">
        <v>4</v>
      </c>
      <c r="J189" s="2" t="inlineStr">
        <is>
          <t>Yes</t>
        </is>
      </c>
      <c r="K189" s="2" t="inlineStr">
        <is>
          <t>No</t>
        </is>
      </c>
      <c r="L189" s="3">
        <f>G189/12</f>
        <v/>
      </c>
      <c r="M189" s="2">
        <f>IF(F189&lt;=2,"0-2 yrs",IF(F189&lt;=5,"3-5 yrs",IF(F189&lt;=10,"6-10 yrs","10+ yrs")))</f>
        <v/>
      </c>
      <c r="N189" s="3">
        <f>MEDIANIFS($G$2:$G$201,$D$2:$D$201,D189)</f>
        <v/>
      </c>
      <c r="O189" s="2">
        <f>MIN(100,IF(F189&lt;=2,20,0)+IF(I189&lt;=2,25,0)+IF(G189&lt;N189,15,0)+IF(J189="Yes",20,0)+IF(H189&lt;5,10,0))</f>
        <v/>
      </c>
      <c r="P189" s="2">
        <f>IF(O189&gt;=70,"High",IF(O189&gt;=40,"Medium","Low"))</f>
        <v/>
      </c>
    </row>
    <row r="190">
      <c r="A190" s="2" t="inlineStr">
        <is>
          <t>EMP1190</t>
        </is>
      </c>
      <c r="B190" s="2" t="n">
        <v>42</v>
      </c>
      <c r="C190" s="2" t="inlineStr">
        <is>
          <t>M</t>
        </is>
      </c>
      <c r="D190" s="2" t="inlineStr">
        <is>
          <t>Operations</t>
        </is>
      </c>
      <c r="E190" s="2" t="inlineStr">
        <is>
          <t>Operations Executive</t>
        </is>
      </c>
      <c r="F190" s="2" t="n">
        <v>5.9</v>
      </c>
      <c r="G190" s="3" t="n">
        <v>985000</v>
      </c>
      <c r="H190" s="2" t="n">
        <v>25</v>
      </c>
      <c r="I190" s="2" t="n">
        <v>3</v>
      </c>
      <c r="J190" s="2" t="inlineStr">
        <is>
          <t>No</t>
        </is>
      </c>
      <c r="K190" s="2" t="inlineStr">
        <is>
          <t>No</t>
        </is>
      </c>
      <c r="L190" s="3">
        <f>G190/12</f>
        <v/>
      </c>
      <c r="M190" s="2">
        <f>IF(F190&lt;=2,"0-2 yrs",IF(F190&lt;=5,"3-5 yrs",IF(F190&lt;=10,"6-10 yrs","10+ yrs")))</f>
        <v/>
      </c>
      <c r="N190" s="3">
        <f>MEDIANIFS($G$2:$G$201,$D$2:$D$201,D190)</f>
        <v/>
      </c>
      <c r="O190" s="2">
        <f>MIN(100,IF(F190&lt;=2,20,0)+IF(I190&lt;=2,25,0)+IF(G190&lt;N190,15,0)+IF(J190="Yes",20,0)+IF(H190&lt;5,10,0))</f>
        <v/>
      </c>
      <c r="P190" s="2">
        <f>IF(O190&gt;=70,"High",IF(O190&gt;=40,"Medium","Low"))</f>
        <v/>
      </c>
    </row>
    <row r="191">
      <c r="A191" s="2" t="inlineStr">
        <is>
          <t>EMP1191</t>
        </is>
      </c>
      <c r="B191" s="2" t="n">
        <v>41</v>
      </c>
      <c r="C191" s="2" t="inlineStr">
        <is>
          <t>F</t>
        </is>
      </c>
      <c r="D191" s="2" t="inlineStr">
        <is>
          <t>Operations</t>
        </is>
      </c>
      <c r="E191" s="2" t="inlineStr">
        <is>
          <t>Process Analyst</t>
        </is>
      </c>
      <c r="F191" s="2" t="n">
        <v>1</v>
      </c>
      <c r="G191" s="3" t="n">
        <v>760000</v>
      </c>
      <c r="H191" s="2" t="n">
        <v>12</v>
      </c>
      <c r="I191" s="2" t="n">
        <v>3</v>
      </c>
      <c r="J191" s="2" t="inlineStr">
        <is>
          <t>No</t>
        </is>
      </c>
      <c r="K191" s="2" t="inlineStr">
        <is>
          <t>Yes</t>
        </is>
      </c>
      <c r="L191" s="3">
        <f>G191/12</f>
        <v/>
      </c>
      <c r="M191" s="2">
        <f>IF(F191&lt;=2,"0-2 yrs",IF(F191&lt;=5,"3-5 yrs",IF(F191&lt;=10,"6-10 yrs","10+ yrs")))</f>
        <v/>
      </c>
      <c r="N191" s="3">
        <f>MEDIANIFS($G$2:$G$201,$D$2:$D$201,D191)</f>
        <v/>
      </c>
      <c r="O191" s="2">
        <f>MIN(100,IF(F191&lt;=2,20,0)+IF(I191&lt;=2,25,0)+IF(G191&lt;N191,15,0)+IF(J191="Yes",20,0)+IF(H191&lt;5,10,0))</f>
        <v/>
      </c>
      <c r="P191" s="2">
        <f>IF(O191&gt;=70,"High",IF(O191&gt;=40,"Medium","Low"))</f>
        <v/>
      </c>
    </row>
    <row r="192">
      <c r="A192" s="2" t="inlineStr">
        <is>
          <t>EMP1192</t>
        </is>
      </c>
      <c r="B192" s="2" t="n">
        <v>21</v>
      </c>
      <c r="C192" s="2" t="inlineStr">
        <is>
          <t>F</t>
        </is>
      </c>
      <c r="D192" s="2" t="inlineStr">
        <is>
          <t>HR</t>
        </is>
      </c>
      <c r="E192" s="2" t="inlineStr">
        <is>
          <t>HR Analyst</t>
        </is>
      </c>
      <c r="F192" s="2" t="n">
        <v>11</v>
      </c>
      <c r="G192" s="3" t="n">
        <v>610000</v>
      </c>
      <c r="H192" s="2" t="n">
        <v>15</v>
      </c>
      <c r="I192" s="2" t="n">
        <v>5</v>
      </c>
      <c r="J192" s="2" t="inlineStr">
        <is>
          <t>No</t>
        </is>
      </c>
      <c r="K192" s="2" t="inlineStr">
        <is>
          <t>Yes</t>
        </is>
      </c>
      <c r="L192" s="3">
        <f>G192/12</f>
        <v/>
      </c>
      <c r="M192" s="2">
        <f>IF(F192&lt;=2,"0-2 yrs",IF(F192&lt;=5,"3-5 yrs",IF(F192&lt;=10,"6-10 yrs","10+ yrs")))</f>
        <v/>
      </c>
      <c r="N192" s="3">
        <f>MEDIANIFS($G$2:$G$201,$D$2:$D$201,D192)</f>
        <v/>
      </c>
      <c r="O192" s="2">
        <f>MIN(100,IF(F192&lt;=2,20,0)+IF(I192&lt;=2,25,0)+IF(G192&lt;N192,15,0)+IF(J192="Yes",20,0)+IF(H192&lt;5,10,0))</f>
        <v/>
      </c>
      <c r="P192" s="2">
        <f>IF(O192&gt;=70,"High",IF(O192&gt;=40,"Medium","Low"))</f>
        <v/>
      </c>
    </row>
    <row r="193">
      <c r="A193" s="2" t="inlineStr">
        <is>
          <t>EMP1193</t>
        </is>
      </c>
      <c r="B193" s="2" t="n">
        <v>25</v>
      </c>
      <c r="C193" s="2" t="inlineStr">
        <is>
          <t>M</t>
        </is>
      </c>
      <c r="D193" s="2" t="inlineStr">
        <is>
          <t>IT</t>
        </is>
      </c>
      <c r="E193" s="2" t="inlineStr">
        <is>
          <t>IT Support</t>
        </is>
      </c>
      <c r="F193" s="2" t="n">
        <v>0.9</v>
      </c>
      <c r="G193" s="3" t="n">
        <v>725000</v>
      </c>
      <c r="H193" s="2" t="n">
        <v>15</v>
      </c>
      <c r="I193" s="2" t="n">
        <v>2</v>
      </c>
      <c r="J193" s="2" t="inlineStr">
        <is>
          <t>Yes</t>
        </is>
      </c>
      <c r="K193" s="2" t="inlineStr">
        <is>
          <t>No</t>
        </is>
      </c>
      <c r="L193" s="3">
        <f>G193/12</f>
        <v/>
      </c>
      <c r="M193" s="2">
        <f>IF(F193&lt;=2,"0-2 yrs",IF(F193&lt;=5,"3-5 yrs",IF(F193&lt;=10,"6-10 yrs","10+ yrs")))</f>
        <v/>
      </c>
      <c r="N193" s="3">
        <f>MEDIANIFS($G$2:$G$201,$D$2:$D$201,D193)</f>
        <v/>
      </c>
      <c r="O193" s="2">
        <f>MIN(100,IF(F193&lt;=2,20,0)+IF(I193&lt;=2,25,0)+IF(G193&lt;N193,15,0)+IF(J193="Yes",20,0)+IF(H193&lt;5,10,0))</f>
        <v/>
      </c>
      <c r="P193" s="2">
        <f>IF(O193&gt;=70,"High",IF(O193&gt;=40,"Medium","Low"))</f>
        <v/>
      </c>
    </row>
    <row r="194">
      <c r="A194" s="2" t="inlineStr">
        <is>
          <t>EMP1194</t>
        </is>
      </c>
      <c r="B194" s="2" t="n">
        <v>30</v>
      </c>
      <c r="C194" s="2" t="inlineStr">
        <is>
          <t>M</t>
        </is>
      </c>
      <c r="D194" s="2" t="inlineStr">
        <is>
          <t>IT</t>
        </is>
      </c>
      <c r="E194" s="2" t="inlineStr">
        <is>
          <t>Data Analyst</t>
        </is>
      </c>
      <c r="F194" s="2" t="n">
        <v>11.7</v>
      </c>
      <c r="G194" s="3" t="n">
        <v>485000</v>
      </c>
      <c r="H194" s="2" t="n">
        <v>0</v>
      </c>
      <c r="I194" s="2" t="n">
        <v>3</v>
      </c>
      <c r="J194" s="2" t="inlineStr">
        <is>
          <t>No</t>
        </is>
      </c>
      <c r="K194" s="2" t="inlineStr">
        <is>
          <t>Yes</t>
        </is>
      </c>
      <c r="L194" s="3">
        <f>G194/12</f>
        <v/>
      </c>
      <c r="M194" s="2">
        <f>IF(F194&lt;=2,"0-2 yrs",IF(F194&lt;=5,"3-5 yrs",IF(F194&lt;=10,"6-10 yrs","10+ yrs")))</f>
        <v/>
      </c>
      <c r="N194" s="3">
        <f>MEDIANIFS($G$2:$G$201,$D$2:$D$201,D194)</f>
        <v/>
      </c>
      <c r="O194" s="2">
        <f>MIN(100,IF(F194&lt;=2,20,0)+IF(I194&lt;=2,25,0)+IF(G194&lt;N194,15,0)+IF(J194="Yes",20,0)+IF(H194&lt;5,10,0))</f>
        <v/>
      </c>
      <c r="P194" s="2">
        <f>IF(O194&gt;=70,"High",IF(O194&gt;=40,"Medium","Low"))</f>
        <v/>
      </c>
    </row>
    <row r="195">
      <c r="A195" s="2" t="inlineStr">
        <is>
          <t>EMP1195</t>
        </is>
      </c>
      <c r="B195" s="2" t="n">
        <v>36</v>
      </c>
      <c r="C195" s="2" t="inlineStr">
        <is>
          <t>F</t>
        </is>
      </c>
      <c r="D195" s="2" t="inlineStr">
        <is>
          <t>Marketing</t>
        </is>
      </c>
      <c r="E195" s="2" t="inlineStr">
        <is>
          <t>Brand Executive</t>
        </is>
      </c>
      <c r="F195" s="2" t="n">
        <v>14.5</v>
      </c>
      <c r="G195" s="3" t="n">
        <v>905000</v>
      </c>
      <c r="H195" s="2" t="n">
        <v>14</v>
      </c>
      <c r="I195" s="2" t="n">
        <v>4</v>
      </c>
      <c r="J195" s="2" t="inlineStr">
        <is>
          <t>No</t>
        </is>
      </c>
      <c r="K195" s="2" t="inlineStr">
        <is>
          <t>No</t>
        </is>
      </c>
      <c r="L195" s="3">
        <f>G195/12</f>
        <v/>
      </c>
      <c r="M195" s="2">
        <f>IF(F195&lt;=2,"0-2 yrs",IF(F195&lt;=5,"3-5 yrs",IF(F195&lt;=10,"6-10 yrs","10+ yrs")))</f>
        <v/>
      </c>
      <c r="N195" s="3">
        <f>MEDIANIFS($G$2:$G$201,$D$2:$D$201,D195)</f>
        <v/>
      </c>
      <c r="O195" s="2">
        <f>MIN(100,IF(F195&lt;=2,20,0)+IF(I195&lt;=2,25,0)+IF(G195&lt;N195,15,0)+IF(J195="Yes",20,0)+IF(H195&lt;5,10,0))</f>
        <v/>
      </c>
      <c r="P195" s="2">
        <f>IF(O195&gt;=70,"High",IF(O195&gt;=40,"Medium","Low"))</f>
        <v/>
      </c>
    </row>
    <row r="196">
      <c r="A196" s="2" t="inlineStr">
        <is>
          <t>EMP1196</t>
        </is>
      </c>
      <c r="B196" s="2" t="n">
        <v>25</v>
      </c>
      <c r="C196" s="2" t="inlineStr">
        <is>
          <t>M</t>
        </is>
      </c>
      <c r="D196" s="2" t="inlineStr">
        <is>
          <t>Customer Support</t>
        </is>
      </c>
      <c r="E196" s="2" t="inlineStr">
        <is>
          <t>Support Analyst</t>
        </is>
      </c>
      <c r="F196" s="2" t="n">
        <v>2.3</v>
      </c>
      <c r="G196" s="3" t="n">
        <v>780000</v>
      </c>
      <c r="H196" s="2" t="n">
        <v>18</v>
      </c>
      <c r="I196" s="2" t="n">
        <v>3</v>
      </c>
      <c r="J196" s="2" t="inlineStr">
        <is>
          <t>Yes</t>
        </is>
      </c>
      <c r="K196" s="2" t="inlineStr">
        <is>
          <t>Yes</t>
        </is>
      </c>
      <c r="L196" s="3">
        <f>G196/12</f>
        <v/>
      </c>
      <c r="M196" s="2">
        <f>IF(F196&lt;=2,"0-2 yrs",IF(F196&lt;=5,"3-5 yrs",IF(F196&lt;=10,"6-10 yrs","10+ yrs")))</f>
        <v/>
      </c>
      <c r="N196" s="3">
        <f>MEDIANIFS($G$2:$G$201,$D$2:$D$201,D196)</f>
        <v/>
      </c>
      <c r="O196" s="2">
        <f>MIN(100,IF(F196&lt;=2,20,0)+IF(I196&lt;=2,25,0)+IF(G196&lt;N196,15,0)+IF(J196="Yes",20,0)+IF(H196&lt;5,10,0))</f>
        <v/>
      </c>
      <c r="P196" s="2">
        <f>IF(O196&gt;=70,"High",IF(O196&gt;=40,"Medium","Low"))</f>
        <v/>
      </c>
    </row>
    <row r="197">
      <c r="A197" s="2" t="inlineStr">
        <is>
          <t>EMP1197</t>
        </is>
      </c>
      <c r="B197" s="2" t="n">
        <v>33</v>
      </c>
      <c r="C197" s="2" t="inlineStr">
        <is>
          <t>F</t>
        </is>
      </c>
      <c r="D197" s="2" t="inlineStr">
        <is>
          <t>Finance</t>
        </is>
      </c>
      <c r="E197" s="2" t="inlineStr">
        <is>
          <t>Finance Executive</t>
        </is>
      </c>
      <c r="F197" s="2" t="n">
        <v>3.9</v>
      </c>
      <c r="G197" s="3" t="n">
        <v>730000</v>
      </c>
      <c r="H197" s="2" t="n">
        <v>18</v>
      </c>
      <c r="I197" s="2" t="n">
        <v>2</v>
      </c>
      <c r="J197" s="2" t="inlineStr">
        <is>
          <t>No</t>
        </is>
      </c>
      <c r="K197" s="2" t="inlineStr">
        <is>
          <t>No</t>
        </is>
      </c>
      <c r="L197" s="3">
        <f>G197/12</f>
        <v/>
      </c>
      <c r="M197" s="2">
        <f>IF(F197&lt;=2,"0-2 yrs",IF(F197&lt;=5,"3-5 yrs",IF(F197&lt;=10,"6-10 yrs","10+ yrs")))</f>
        <v/>
      </c>
      <c r="N197" s="3">
        <f>MEDIANIFS($G$2:$G$201,$D$2:$D$201,D197)</f>
        <v/>
      </c>
      <c r="O197" s="2">
        <f>MIN(100,IF(F197&lt;=2,20,0)+IF(I197&lt;=2,25,0)+IF(G197&lt;N197,15,0)+IF(J197="Yes",20,0)+IF(H197&lt;5,10,0))</f>
        <v/>
      </c>
      <c r="P197" s="2">
        <f>IF(O197&gt;=70,"High",IF(O197&gt;=40,"Medium","Low"))</f>
        <v/>
      </c>
    </row>
    <row r="198">
      <c r="A198" s="2" t="inlineStr">
        <is>
          <t>EMP1198</t>
        </is>
      </c>
      <c r="B198" s="2" t="n">
        <v>22</v>
      </c>
      <c r="C198" s="2" t="inlineStr">
        <is>
          <t>F</t>
        </is>
      </c>
      <c r="D198" s="2" t="inlineStr">
        <is>
          <t>Operations</t>
        </is>
      </c>
      <c r="E198" s="2" t="inlineStr">
        <is>
          <t>Process Analyst</t>
        </is>
      </c>
      <c r="F198" s="2" t="n">
        <v>8.300000000000001</v>
      </c>
      <c r="G198" s="3" t="n">
        <v>770000</v>
      </c>
      <c r="H198" s="2" t="n">
        <v>22</v>
      </c>
      <c r="I198" s="2" t="n">
        <v>3</v>
      </c>
      <c r="J198" s="2" t="inlineStr">
        <is>
          <t>No</t>
        </is>
      </c>
      <c r="K198" s="2" t="inlineStr">
        <is>
          <t>No</t>
        </is>
      </c>
      <c r="L198" s="3">
        <f>G198/12</f>
        <v/>
      </c>
      <c r="M198" s="2">
        <f>IF(F198&lt;=2,"0-2 yrs",IF(F198&lt;=5,"3-5 yrs",IF(F198&lt;=10,"6-10 yrs","10+ yrs")))</f>
        <v/>
      </c>
      <c r="N198" s="3">
        <f>MEDIANIFS($G$2:$G$201,$D$2:$D$201,D198)</f>
        <v/>
      </c>
      <c r="O198" s="2">
        <f>MIN(100,IF(F198&lt;=2,20,0)+IF(I198&lt;=2,25,0)+IF(G198&lt;N198,15,0)+IF(J198="Yes",20,0)+IF(H198&lt;5,10,0))</f>
        <v/>
      </c>
      <c r="P198" s="2">
        <f>IF(O198&gt;=70,"High",IF(O198&gt;=40,"Medium","Low"))</f>
        <v/>
      </c>
    </row>
    <row r="199">
      <c r="A199" s="2" t="inlineStr">
        <is>
          <t>EMP1199</t>
        </is>
      </c>
      <c r="B199" s="2" t="n">
        <v>36</v>
      </c>
      <c r="C199" s="2" t="inlineStr">
        <is>
          <t>M</t>
        </is>
      </c>
      <c r="D199" s="2" t="inlineStr">
        <is>
          <t>Sales</t>
        </is>
      </c>
      <c r="E199" s="2" t="inlineStr">
        <is>
          <t>Business Development Executive</t>
        </is>
      </c>
      <c r="F199" s="2" t="n">
        <v>1.1</v>
      </c>
      <c r="G199" s="3" t="n">
        <v>505000</v>
      </c>
      <c r="H199" s="2" t="n">
        <v>17</v>
      </c>
      <c r="I199" s="2" t="n">
        <v>4</v>
      </c>
      <c r="J199" s="2" t="inlineStr">
        <is>
          <t>Yes</t>
        </is>
      </c>
      <c r="K199" s="2" t="inlineStr">
        <is>
          <t>Yes</t>
        </is>
      </c>
      <c r="L199" s="3">
        <f>G199/12</f>
        <v/>
      </c>
      <c r="M199" s="2">
        <f>IF(F199&lt;=2,"0-2 yrs",IF(F199&lt;=5,"3-5 yrs",IF(F199&lt;=10,"6-10 yrs","10+ yrs")))</f>
        <v/>
      </c>
      <c r="N199" s="3">
        <f>MEDIANIFS($G$2:$G$201,$D$2:$D$201,D199)</f>
        <v/>
      </c>
      <c r="O199" s="2">
        <f>MIN(100,IF(F199&lt;=2,20,0)+IF(I199&lt;=2,25,0)+IF(G199&lt;N199,15,0)+IF(J199="Yes",20,0)+IF(H199&lt;5,10,0))</f>
        <v/>
      </c>
      <c r="P199" s="2">
        <f>IF(O199&gt;=70,"High",IF(O199&gt;=40,"Medium","Low"))</f>
        <v/>
      </c>
    </row>
    <row r="200">
      <c r="A200" s="2" t="inlineStr">
        <is>
          <t>EMP1200</t>
        </is>
      </c>
      <c r="B200" s="2" t="n">
        <v>31</v>
      </c>
      <c r="C200" s="2" t="inlineStr">
        <is>
          <t>M</t>
        </is>
      </c>
      <c r="D200" s="2" t="inlineStr">
        <is>
          <t>Finance</t>
        </is>
      </c>
      <c r="E200" s="2" t="inlineStr">
        <is>
          <t>Accountant</t>
        </is>
      </c>
      <c r="F200" s="2" t="n">
        <v>5.1</v>
      </c>
      <c r="G200" s="3" t="n">
        <v>1005000</v>
      </c>
      <c r="H200" s="2" t="n">
        <v>8</v>
      </c>
      <c r="I200" s="2" t="n">
        <v>3</v>
      </c>
      <c r="J200" s="2" t="inlineStr">
        <is>
          <t>No</t>
        </is>
      </c>
      <c r="K200" s="2" t="inlineStr">
        <is>
          <t>No</t>
        </is>
      </c>
      <c r="L200" s="3">
        <f>G200/12</f>
        <v/>
      </c>
      <c r="M200" s="2">
        <f>IF(F200&lt;=2,"0-2 yrs",IF(F200&lt;=5,"3-5 yrs",IF(F200&lt;=10,"6-10 yrs","10+ yrs")))</f>
        <v/>
      </c>
      <c r="N200" s="3">
        <f>MEDIANIFS($G$2:$G$201,$D$2:$D$201,D200)</f>
        <v/>
      </c>
      <c r="O200" s="2">
        <f>MIN(100,IF(F200&lt;=2,20,0)+IF(I200&lt;=2,25,0)+IF(G200&lt;N200,15,0)+IF(J200="Yes",20,0)+IF(H200&lt;5,10,0))</f>
        <v/>
      </c>
      <c r="P200" s="2">
        <f>IF(O200&gt;=70,"High",IF(O200&gt;=40,"Medium","Low"))</f>
        <v/>
      </c>
    </row>
    <row r="201">
      <c r="A201" s="2" t="inlineStr">
        <is>
          <t>EMP1201</t>
        </is>
      </c>
      <c r="B201" s="2" t="n">
        <v>33</v>
      </c>
      <c r="C201" s="2" t="inlineStr">
        <is>
          <t>F</t>
        </is>
      </c>
      <c r="D201" s="2" t="inlineStr">
        <is>
          <t>Operations</t>
        </is>
      </c>
      <c r="E201" s="2" t="inlineStr">
        <is>
          <t>Process Analyst</t>
        </is>
      </c>
      <c r="F201" s="2" t="n">
        <v>8.5</v>
      </c>
      <c r="G201" s="3" t="n">
        <v>365000</v>
      </c>
      <c r="H201" s="2" t="n">
        <v>8</v>
      </c>
      <c r="I201" s="2" t="n">
        <v>3</v>
      </c>
      <c r="J201" s="2" t="inlineStr">
        <is>
          <t>No</t>
        </is>
      </c>
      <c r="K201" s="2" t="inlineStr">
        <is>
          <t>No</t>
        </is>
      </c>
      <c r="L201" s="3">
        <f>G201/12</f>
        <v/>
      </c>
      <c r="M201" s="2">
        <f>IF(F201&lt;=2,"0-2 yrs",IF(F201&lt;=5,"3-5 yrs",IF(F201&lt;=10,"6-10 yrs","10+ yrs")))</f>
        <v/>
      </c>
      <c r="N201" s="3">
        <f>MEDIANIFS($G$2:$G$201,$D$2:$D$201,D201)</f>
        <v/>
      </c>
      <c r="O201" s="2">
        <f>MIN(100,IF(F201&lt;=2,20,0)+IF(I201&lt;=2,25,0)+IF(G201&lt;N201,15,0)+IF(J201="Yes",20,0)+IF(H201&lt;5,10,0))</f>
        <v/>
      </c>
      <c r="P201" s="2">
        <f>IF(O201&gt;=70,"High",IF(O201&gt;=40,"Medium","Low"))</f>
        <v/>
      </c>
    </row>
  </sheetData>
  <autoFilter ref="A1:P201"/>
  <conditionalFormatting sqref="O2:O20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01">
    <cfRule type="cellIs" priority="2" operator="equal" dxfId="0">
      <formula>"High"</formula>
    </cfRule>
  </conditionalFormatting>
  <dataValidations count="2">
    <dataValidation sqref="C2:C201" showDropDown="0" showInputMessage="0" showErrorMessage="0" allowBlank="0" type="list">
      <formula1>"M,F"</formula1>
    </dataValidation>
    <dataValidation sqref="J2:J201" showDropDown="0" showInputMessage="0" showErrorMessage="0" allowBlank="0" type="list">
      <formula1>"Yes,No"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EMPLOYEE ATTRITION &amp; RETENTION DASHBOARD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6" t="inlineStr">
        <is>
          <t>Sample dataset: 200 employees | Currency: INR (₹)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7" t="inlineStr">
        <is>
          <t>Total Employees</t>
        </is>
      </c>
      <c r="B4" s="5" t="n"/>
      <c r="C4" s="7" t="inlineStr">
        <is>
          <t>Attrition Rate %</t>
        </is>
      </c>
      <c r="D4" s="5" t="n"/>
      <c r="E4" s="7" t="inlineStr">
        <is>
          <t>Average Tenure</t>
        </is>
      </c>
      <c r="F4" s="5" t="n"/>
      <c r="G4" s="7" t="inlineStr">
        <is>
          <t>Overtime %</t>
        </is>
      </c>
      <c r="H4" s="5" t="n"/>
    </row>
    <row r="5">
      <c r="A5" s="8">
        <f>COUNTA('Employee Data'!A2:A201)</f>
        <v/>
      </c>
      <c r="B5" s="5" t="n"/>
      <c r="C5" s="8">
        <f>COUNTIF('Employee Data'!K2:K201,"Yes")/COUNTA('Employee Data'!A2:A201)</f>
        <v/>
      </c>
      <c r="D5" s="9" t="n"/>
      <c r="E5" s="8">
        <f>AVERAGE('Employee Data'!F2:F201)</f>
        <v/>
      </c>
      <c r="F5" s="10" t="n"/>
      <c r="G5" s="8">
        <f>COUNTIF('Employee Data'!J2:J201,"Yes")/COUNTA('Employee Data'!A2:A201)</f>
        <v/>
      </c>
      <c r="H5" s="9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7" t="inlineStr">
        <is>
          <t>High-Risk Employees</t>
        </is>
      </c>
      <c r="B7" s="5" t="n"/>
      <c r="C7" s="7" t="inlineStr">
        <is>
          <t>High Performer Attrition %</t>
        </is>
      </c>
      <c r="D7" s="5" t="n"/>
      <c r="E7" s="7" t="inlineStr">
        <is>
          <t>Average Salary (INR)</t>
        </is>
      </c>
      <c r="F7" s="5" t="n"/>
      <c r="G7" s="7" t="inlineStr">
        <is>
          <t>Average Training Hours</t>
        </is>
      </c>
      <c r="H7" s="5" t="n"/>
    </row>
    <row r="8">
      <c r="A8" s="8">
        <f>COUNTIF('Employee Data'!P2:P201,"High")</f>
        <v/>
      </c>
      <c r="B8" s="5" t="n"/>
      <c r="C8" s="8">
        <f>COUNTIFS('Employee Data'!I2:I201,"&gt;=4",'Employee Data'!K2:K201,"Yes")/COUNTIF('Employee Data'!I2:I201,"&gt;=4")</f>
        <v/>
      </c>
      <c r="D8" s="9" t="n"/>
      <c r="E8" s="8">
        <f>AVERAGE('Employee Data'!G2:G201)</f>
        <v/>
      </c>
      <c r="F8" s="11" t="n"/>
      <c r="G8" s="8">
        <f>AVERAGE('Employee Data'!H2:H201)</f>
        <v/>
      </c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12" t="inlineStr">
        <is>
          <t>Department</t>
        </is>
      </c>
      <c r="B11" s="12" t="inlineStr">
        <is>
          <t>Employees</t>
        </is>
      </c>
      <c r="C11" s="12" t="inlineStr">
        <is>
          <t>Attrition</t>
        </is>
      </c>
      <c r="D11" s="12" t="inlineStr">
        <is>
          <t>Attrition Rate %</t>
        </is>
      </c>
      <c r="E11" s="5" t="n"/>
      <c r="F11" s="12" t="inlineStr">
        <is>
          <t>Gender</t>
        </is>
      </c>
      <c r="G11" s="12" t="inlineStr">
        <is>
          <t>Attrition</t>
        </is>
      </c>
      <c r="H11" s="5" t="n"/>
    </row>
    <row r="12">
      <c r="A12" s="5" t="inlineStr">
        <is>
          <t>HR</t>
        </is>
      </c>
      <c r="B12" s="5">
        <f>COUNTIF('Employee Data'!D$2:D$201,A12)</f>
        <v/>
      </c>
      <c r="C12" s="5">
        <f>COUNTIFS('Employee Data'!D$2:D$201,A12,'Employee Data'!K$2:K$201,"Yes")</f>
        <v/>
      </c>
      <c r="D12" s="9">
        <f>IFERROR(C12/B12,0)</f>
        <v/>
      </c>
      <c r="E12" s="5" t="n"/>
      <c r="F12" s="5" t="inlineStr">
        <is>
          <t>M</t>
        </is>
      </c>
      <c r="G12" s="5">
        <f>COUNTIFS('Employee Data'!C$2:C$201,F12,'Employee Data'!K$2:K$201,"Yes")</f>
        <v/>
      </c>
      <c r="H12" s="5" t="n"/>
    </row>
    <row r="13">
      <c r="A13" s="5" t="inlineStr">
        <is>
          <t>Finance</t>
        </is>
      </c>
      <c r="B13" s="5">
        <f>COUNTIF('Employee Data'!D$2:D$201,A13)</f>
        <v/>
      </c>
      <c r="C13" s="5">
        <f>COUNTIFS('Employee Data'!D$2:D$201,A13,'Employee Data'!K$2:K$201,"Yes")</f>
        <v/>
      </c>
      <c r="D13" s="9">
        <f>IFERROR(C13/B13,0)</f>
        <v/>
      </c>
      <c r="E13" s="5" t="n"/>
      <c r="F13" s="5" t="inlineStr">
        <is>
          <t>F</t>
        </is>
      </c>
      <c r="G13" s="5">
        <f>COUNTIFS('Employee Data'!C$2:C$201,F13,'Employee Data'!K$2:K$201,"Yes")</f>
        <v/>
      </c>
      <c r="H13" s="5" t="n"/>
    </row>
    <row r="14">
      <c r="A14" s="5" t="inlineStr">
        <is>
          <t>IT</t>
        </is>
      </c>
      <c r="B14" s="5">
        <f>COUNTIF('Employee Data'!D$2:D$201,A14)</f>
        <v/>
      </c>
      <c r="C14" s="5">
        <f>COUNTIFS('Employee Data'!D$2:D$201,A14,'Employee Data'!K$2:K$201,"Yes")</f>
        <v/>
      </c>
      <c r="D14" s="9">
        <f>IFERROR(C14/B14,0)</f>
        <v/>
      </c>
      <c r="E14" s="5" t="n"/>
      <c r="F14" s="5" t="n"/>
      <c r="G14" s="5" t="n"/>
      <c r="H14" s="5" t="n"/>
    </row>
    <row r="15">
      <c r="A15" s="5" t="inlineStr">
        <is>
          <t>Sales</t>
        </is>
      </c>
      <c r="B15" s="5">
        <f>COUNTIF('Employee Data'!D$2:D$201,A15)</f>
        <v/>
      </c>
      <c r="C15" s="5">
        <f>COUNTIFS('Employee Data'!D$2:D$201,A15,'Employee Data'!K$2:K$201,"Yes")</f>
        <v/>
      </c>
      <c r="D15" s="9">
        <f>IFERROR(C15/B15,0)</f>
        <v/>
      </c>
      <c r="E15" s="5" t="n"/>
      <c r="F15" s="5" t="n"/>
      <c r="G15" s="5" t="n"/>
      <c r="H15" s="5" t="n"/>
    </row>
    <row r="16">
      <c r="A16" s="5" t="inlineStr">
        <is>
          <t>Marketing</t>
        </is>
      </c>
      <c r="B16" s="5">
        <f>COUNTIF('Employee Data'!D$2:D$201,A16)</f>
        <v/>
      </c>
      <c r="C16" s="5">
        <f>COUNTIFS('Employee Data'!D$2:D$201,A16,'Employee Data'!K$2:K$201,"Yes")</f>
        <v/>
      </c>
      <c r="D16" s="9">
        <f>IFERROR(C16/B16,0)</f>
        <v/>
      </c>
      <c r="E16" s="5" t="n"/>
      <c r="F16" s="12" t="inlineStr">
        <is>
          <t>Risk Level</t>
        </is>
      </c>
      <c r="G16" s="12" t="inlineStr">
        <is>
          <t>Employee Count</t>
        </is>
      </c>
      <c r="H16" s="5" t="n"/>
    </row>
    <row r="17">
      <c r="A17" s="5" t="inlineStr">
        <is>
          <t>Operations</t>
        </is>
      </c>
      <c r="B17" s="5">
        <f>COUNTIF('Employee Data'!D$2:D$201,A17)</f>
        <v/>
      </c>
      <c r="C17" s="5">
        <f>COUNTIFS('Employee Data'!D$2:D$201,A17,'Employee Data'!K$2:K$201,"Yes")</f>
        <v/>
      </c>
      <c r="D17" s="9">
        <f>IFERROR(C17/B17,0)</f>
        <v/>
      </c>
      <c r="E17" s="5" t="n"/>
      <c r="F17" s="5" t="inlineStr">
        <is>
          <t>High</t>
        </is>
      </c>
      <c r="G17" s="5">
        <f>COUNTIF('Employee Data'!P$2:P$201,F17)</f>
        <v/>
      </c>
      <c r="H17" s="5" t="n"/>
    </row>
    <row r="18">
      <c r="A18" s="5" t="inlineStr">
        <is>
          <t>Customer Support</t>
        </is>
      </c>
      <c r="B18" s="5">
        <f>COUNTIF('Employee Data'!D$2:D$201,A18)</f>
        <v/>
      </c>
      <c r="C18" s="5">
        <f>COUNTIFS('Employee Data'!D$2:D$201,A18,'Employee Data'!K$2:K$201,"Yes")</f>
        <v/>
      </c>
      <c r="D18" s="9">
        <f>IFERROR(C18/B18,0)</f>
        <v/>
      </c>
      <c r="E18" s="5" t="n"/>
      <c r="F18" s="5" t="inlineStr">
        <is>
          <t>Medium</t>
        </is>
      </c>
      <c r="G18" s="5">
        <f>COUNTIF('Employee Data'!P$2:P$201,F18)</f>
        <v/>
      </c>
      <c r="H18" s="5" t="n"/>
    </row>
    <row r="19">
      <c r="A19" s="5" t="n"/>
      <c r="B19" s="5" t="n"/>
      <c r="C19" s="5" t="n"/>
      <c r="D19" s="5" t="n"/>
      <c r="E19" s="5" t="n"/>
      <c r="F19" s="5" t="inlineStr">
        <is>
          <t>Low</t>
        </is>
      </c>
      <c r="G19" s="5">
        <f>COUNTIF('Employee Data'!P$2:P$201,F19)</f>
        <v/>
      </c>
      <c r="H19" s="5" t="n"/>
    </row>
  </sheetData>
  <mergeCells count="18">
    <mergeCell ref="A4:B4"/>
    <mergeCell ref="G4:H4"/>
    <mergeCell ref="E4:F4"/>
    <mergeCell ref="C7:D7"/>
    <mergeCell ref="A7:B7"/>
    <mergeCell ref="G7:H7"/>
    <mergeCell ref="E7:F7"/>
    <mergeCell ref="A2:H2"/>
    <mergeCell ref="C5:D5"/>
    <mergeCell ref="A5:B5"/>
    <mergeCell ref="G5:H5"/>
    <mergeCell ref="E5:F5"/>
    <mergeCell ref="A1:H1"/>
    <mergeCell ref="G8:H8"/>
    <mergeCell ref="A8:B8"/>
    <mergeCell ref="E8:F8"/>
    <mergeCell ref="C8:D8"/>
    <mergeCell ref="C4:D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30" customWidth="1" min="4" max="4"/>
    <col width="15" customWidth="1" min="5" max="5"/>
    <col width="20" customWidth="1" min="6" max="6"/>
    <col width="20" customWidth="1" min="7" max="7"/>
    <col width="12" customWidth="1" min="8" max="8"/>
    <col width="16" customWidth="1" min="9" max="9"/>
    <col width="12" customWidth="1" min="10" max="10"/>
    <col width="12" customWidth="1" min="11" max="11"/>
  </cols>
  <sheetData>
    <row r="1">
      <c r="A1" s="12" t="inlineStr">
        <is>
          <t>Rank</t>
        </is>
      </c>
      <c r="B1" s="12" t="inlineStr">
        <is>
          <t>Employee_ID</t>
        </is>
      </c>
      <c r="C1" s="12" t="inlineStr">
        <is>
          <t>Department</t>
        </is>
      </c>
      <c r="D1" s="12" t="inlineStr">
        <is>
          <t>Job_Role</t>
        </is>
      </c>
      <c r="E1" s="12" t="inlineStr">
        <is>
          <t>Tenure (Years)</t>
        </is>
      </c>
      <c r="F1" s="12" t="inlineStr">
        <is>
          <t>Annual Salary (INR)</t>
        </is>
      </c>
      <c r="G1" s="12" t="inlineStr">
        <is>
          <t>Performance_Rating</t>
        </is>
      </c>
      <c r="H1" s="12" t="inlineStr">
        <is>
          <t>Overtime</t>
        </is>
      </c>
      <c r="I1" s="12" t="inlineStr">
        <is>
          <t>Training_Hours</t>
        </is>
      </c>
      <c r="J1" s="12" t="inlineStr">
        <is>
          <t>Risk Score</t>
        </is>
      </c>
      <c r="K1" s="12" t="inlineStr">
        <is>
          <t>Risk Level</t>
        </is>
      </c>
    </row>
    <row r="2">
      <c r="A2" s="5" t="n">
        <v>1</v>
      </c>
      <c r="B2" s="5">
        <f>INDEX('Employee Data'!$A$2:$A$201,MATCH(J2,'Employee Data'!$O$2:$O$201,0))</f>
        <v/>
      </c>
      <c r="C2" s="5">
        <f>INDEX('Employee Data'!$D$2:$D$201,MATCH(B2,'Employee Data'!$A$2:$A$201,0))</f>
        <v/>
      </c>
      <c r="D2" s="5">
        <f>INDEX('Employee Data'!$E$2:$E$201,MATCH(B2,'Employee Data'!$A$2:$A$201,0))</f>
        <v/>
      </c>
      <c r="E2" s="5">
        <f>INDEX('Employee Data'!$F$2:$F$201,MATCH(B2,'Employee Data'!$A$2:$A$201,0))</f>
        <v/>
      </c>
      <c r="F2" s="11">
        <f>INDEX('Employee Data'!$G$2:$G$201,MATCH(B2,'Employee Data'!$A$2:$A$201,0))</f>
        <v/>
      </c>
      <c r="G2" s="5">
        <f>INDEX('Employee Data'!$I$2:$I$201,MATCH(B2,'Employee Data'!$A$2:$A$201,0))</f>
        <v/>
      </c>
      <c r="H2" s="5">
        <f>INDEX('Employee Data'!$J$2:$J$201,MATCH(B2,'Employee Data'!$A$2:$A$201,0))</f>
        <v/>
      </c>
      <c r="I2" s="5">
        <f>INDEX('Employee Data'!$H$2:$H$201,MATCH(B2,'Employee Data'!$A$2:$A$201,0))</f>
        <v/>
      </c>
      <c r="J2" s="5">
        <f>LARGE('Employee Data'!$O$2:$O$201,A2)</f>
        <v/>
      </c>
      <c r="K2" s="5">
        <f>IF(J2&gt;=70,"High",IF(J2&gt;=40,"Medium","Low"))</f>
        <v/>
      </c>
    </row>
    <row r="3">
      <c r="A3" s="5" t="n">
        <v>2</v>
      </c>
      <c r="B3" s="5">
        <f>INDEX('Employee Data'!$A$2:$A$201,MATCH(J3,'Employee Data'!$O$2:$O$201,0))</f>
        <v/>
      </c>
      <c r="C3" s="5">
        <f>INDEX('Employee Data'!$D$2:$D$201,MATCH(B3,'Employee Data'!$A$2:$A$201,0))</f>
        <v/>
      </c>
      <c r="D3" s="5">
        <f>INDEX('Employee Data'!$E$2:$E$201,MATCH(B3,'Employee Data'!$A$2:$A$201,0))</f>
        <v/>
      </c>
      <c r="E3" s="5">
        <f>INDEX('Employee Data'!$F$2:$F$201,MATCH(B3,'Employee Data'!$A$2:$A$201,0))</f>
        <v/>
      </c>
      <c r="F3" s="11">
        <f>INDEX('Employee Data'!$G$2:$G$201,MATCH(B3,'Employee Data'!$A$2:$A$201,0))</f>
        <v/>
      </c>
      <c r="G3" s="5">
        <f>INDEX('Employee Data'!$I$2:$I$201,MATCH(B3,'Employee Data'!$A$2:$A$201,0))</f>
        <v/>
      </c>
      <c r="H3" s="5">
        <f>INDEX('Employee Data'!$J$2:$J$201,MATCH(B3,'Employee Data'!$A$2:$A$201,0))</f>
        <v/>
      </c>
      <c r="I3" s="5">
        <f>INDEX('Employee Data'!$H$2:$H$201,MATCH(B3,'Employee Data'!$A$2:$A$201,0))</f>
        <v/>
      </c>
      <c r="J3" s="5">
        <f>LARGE('Employee Data'!$O$2:$O$201,A3)</f>
        <v/>
      </c>
      <c r="K3" s="5">
        <f>IF(J3&gt;=70,"High",IF(J3&gt;=40,"Medium","Low"))</f>
        <v/>
      </c>
    </row>
    <row r="4">
      <c r="A4" s="5" t="n">
        <v>3</v>
      </c>
      <c r="B4" s="5">
        <f>INDEX('Employee Data'!$A$2:$A$201,MATCH(J4,'Employee Data'!$O$2:$O$201,0))</f>
        <v/>
      </c>
      <c r="C4" s="5">
        <f>INDEX('Employee Data'!$D$2:$D$201,MATCH(B4,'Employee Data'!$A$2:$A$201,0))</f>
        <v/>
      </c>
      <c r="D4" s="5">
        <f>INDEX('Employee Data'!$E$2:$E$201,MATCH(B4,'Employee Data'!$A$2:$A$201,0))</f>
        <v/>
      </c>
      <c r="E4" s="5">
        <f>INDEX('Employee Data'!$F$2:$F$201,MATCH(B4,'Employee Data'!$A$2:$A$201,0))</f>
        <v/>
      </c>
      <c r="F4" s="11">
        <f>INDEX('Employee Data'!$G$2:$G$201,MATCH(B4,'Employee Data'!$A$2:$A$201,0))</f>
        <v/>
      </c>
      <c r="G4" s="5">
        <f>INDEX('Employee Data'!$I$2:$I$201,MATCH(B4,'Employee Data'!$A$2:$A$201,0))</f>
        <v/>
      </c>
      <c r="H4" s="5">
        <f>INDEX('Employee Data'!$J$2:$J$201,MATCH(B4,'Employee Data'!$A$2:$A$201,0))</f>
        <v/>
      </c>
      <c r="I4" s="5">
        <f>INDEX('Employee Data'!$H$2:$H$201,MATCH(B4,'Employee Data'!$A$2:$A$201,0))</f>
        <v/>
      </c>
      <c r="J4" s="5">
        <f>LARGE('Employee Data'!$O$2:$O$201,A4)</f>
        <v/>
      </c>
      <c r="K4" s="5">
        <f>IF(J4&gt;=70,"High",IF(J4&gt;=40,"Medium","Low"))</f>
        <v/>
      </c>
    </row>
    <row r="5">
      <c r="A5" s="5" t="n">
        <v>4</v>
      </c>
      <c r="B5" s="5">
        <f>INDEX('Employee Data'!$A$2:$A$201,MATCH(J5,'Employee Data'!$O$2:$O$201,0))</f>
        <v/>
      </c>
      <c r="C5" s="5">
        <f>INDEX('Employee Data'!$D$2:$D$201,MATCH(B5,'Employee Data'!$A$2:$A$201,0))</f>
        <v/>
      </c>
      <c r="D5" s="5">
        <f>INDEX('Employee Data'!$E$2:$E$201,MATCH(B5,'Employee Data'!$A$2:$A$201,0))</f>
        <v/>
      </c>
      <c r="E5" s="5">
        <f>INDEX('Employee Data'!$F$2:$F$201,MATCH(B5,'Employee Data'!$A$2:$A$201,0))</f>
        <v/>
      </c>
      <c r="F5" s="11">
        <f>INDEX('Employee Data'!$G$2:$G$201,MATCH(B5,'Employee Data'!$A$2:$A$201,0))</f>
        <v/>
      </c>
      <c r="G5" s="5">
        <f>INDEX('Employee Data'!$I$2:$I$201,MATCH(B5,'Employee Data'!$A$2:$A$201,0))</f>
        <v/>
      </c>
      <c r="H5" s="5">
        <f>INDEX('Employee Data'!$J$2:$J$201,MATCH(B5,'Employee Data'!$A$2:$A$201,0))</f>
        <v/>
      </c>
      <c r="I5" s="5">
        <f>INDEX('Employee Data'!$H$2:$H$201,MATCH(B5,'Employee Data'!$A$2:$A$201,0))</f>
        <v/>
      </c>
      <c r="J5" s="5">
        <f>LARGE('Employee Data'!$O$2:$O$201,A5)</f>
        <v/>
      </c>
      <c r="K5" s="5">
        <f>IF(J5&gt;=70,"High",IF(J5&gt;=40,"Medium","Low"))</f>
        <v/>
      </c>
    </row>
    <row r="6">
      <c r="A6" s="5" t="n">
        <v>5</v>
      </c>
      <c r="B6" s="5">
        <f>INDEX('Employee Data'!$A$2:$A$201,MATCH(J6,'Employee Data'!$O$2:$O$201,0))</f>
        <v/>
      </c>
      <c r="C6" s="5">
        <f>INDEX('Employee Data'!$D$2:$D$201,MATCH(B6,'Employee Data'!$A$2:$A$201,0))</f>
        <v/>
      </c>
      <c r="D6" s="5">
        <f>INDEX('Employee Data'!$E$2:$E$201,MATCH(B6,'Employee Data'!$A$2:$A$201,0))</f>
        <v/>
      </c>
      <c r="E6" s="5">
        <f>INDEX('Employee Data'!$F$2:$F$201,MATCH(B6,'Employee Data'!$A$2:$A$201,0))</f>
        <v/>
      </c>
      <c r="F6" s="11">
        <f>INDEX('Employee Data'!$G$2:$G$201,MATCH(B6,'Employee Data'!$A$2:$A$201,0))</f>
        <v/>
      </c>
      <c r="G6" s="5">
        <f>INDEX('Employee Data'!$I$2:$I$201,MATCH(B6,'Employee Data'!$A$2:$A$201,0))</f>
        <v/>
      </c>
      <c r="H6" s="5">
        <f>INDEX('Employee Data'!$J$2:$J$201,MATCH(B6,'Employee Data'!$A$2:$A$201,0))</f>
        <v/>
      </c>
      <c r="I6" s="5">
        <f>INDEX('Employee Data'!$H$2:$H$201,MATCH(B6,'Employee Data'!$A$2:$A$201,0))</f>
        <v/>
      </c>
      <c r="J6" s="5">
        <f>LARGE('Employee Data'!$O$2:$O$201,A6)</f>
        <v/>
      </c>
      <c r="K6" s="5">
        <f>IF(J6&gt;=70,"High",IF(J6&gt;=40,"Medium","Low"))</f>
        <v/>
      </c>
    </row>
    <row r="7">
      <c r="A7" s="5" t="n">
        <v>6</v>
      </c>
      <c r="B7" s="5">
        <f>INDEX('Employee Data'!$A$2:$A$201,MATCH(J7,'Employee Data'!$O$2:$O$201,0))</f>
        <v/>
      </c>
      <c r="C7" s="5">
        <f>INDEX('Employee Data'!$D$2:$D$201,MATCH(B7,'Employee Data'!$A$2:$A$201,0))</f>
        <v/>
      </c>
      <c r="D7" s="5">
        <f>INDEX('Employee Data'!$E$2:$E$201,MATCH(B7,'Employee Data'!$A$2:$A$201,0))</f>
        <v/>
      </c>
      <c r="E7" s="5">
        <f>INDEX('Employee Data'!$F$2:$F$201,MATCH(B7,'Employee Data'!$A$2:$A$201,0))</f>
        <v/>
      </c>
      <c r="F7" s="11">
        <f>INDEX('Employee Data'!$G$2:$G$201,MATCH(B7,'Employee Data'!$A$2:$A$201,0))</f>
        <v/>
      </c>
      <c r="G7" s="5">
        <f>INDEX('Employee Data'!$I$2:$I$201,MATCH(B7,'Employee Data'!$A$2:$A$201,0))</f>
        <v/>
      </c>
      <c r="H7" s="5">
        <f>INDEX('Employee Data'!$J$2:$J$201,MATCH(B7,'Employee Data'!$A$2:$A$201,0))</f>
        <v/>
      </c>
      <c r="I7" s="5">
        <f>INDEX('Employee Data'!$H$2:$H$201,MATCH(B7,'Employee Data'!$A$2:$A$201,0))</f>
        <v/>
      </c>
      <c r="J7" s="5">
        <f>LARGE('Employee Data'!$O$2:$O$201,A7)</f>
        <v/>
      </c>
      <c r="K7" s="5">
        <f>IF(J7&gt;=70,"High",IF(J7&gt;=40,"Medium","Low"))</f>
        <v/>
      </c>
    </row>
    <row r="8">
      <c r="A8" s="5" t="n">
        <v>7</v>
      </c>
      <c r="B8" s="5">
        <f>INDEX('Employee Data'!$A$2:$A$201,MATCH(J8,'Employee Data'!$O$2:$O$201,0))</f>
        <v/>
      </c>
      <c r="C8" s="5">
        <f>INDEX('Employee Data'!$D$2:$D$201,MATCH(B8,'Employee Data'!$A$2:$A$201,0))</f>
        <v/>
      </c>
      <c r="D8" s="5">
        <f>INDEX('Employee Data'!$E$2:$E$201,MATCH(B8,'Employee Data'!$A$2:$A$201,0))</f>
        <v/>
      </c>
      <c r="E8" s="5">
        <f>INDEX('Employee Data'!$F$2:$F$201,MATCH(B8,'Employee Data'!$A$2:$A$201,0))</f>
        <v/>
      </c>
      <c r="F8" s="11">
        <f>INDEX('Employee Data'!$G$2:$G$201,MATCH(B8,'Employee Data'!$A$2:$A$201,0))</f>
        <v/>
      </c>
      <c r="G8" s="5">
        <f>INDEX('Employee Data'!$I$2:$I$201,MATCH(B8,'Employee Data'!$A$2:$A$201,0))</f>
        <v/>
      </c>
      <c r="H8" s="5">
        <f>INDEX('Employee Data'!$J$2:$J$201,MATCH(B8,'Employee Data'!$A$2:$A$201,0))</f>
        <v/>
      </c>
      <c r="I8" s="5">
        <f>INDEX('Employee Data'!$H$2:$H$201,MATCH(B8,'Employee Data'!$A$2:$A$201,0))</f>
        <v/>
      </c>
      <c r="J8" s="5">
        <f>LARGE('Employee Data'!$O$2:$O$201,A8)</f>
        <v/>
      </c>
      <c r="K8" s="5">
        <f>IF(J8&gt;=70,"High",IF(J8&gt;=40,"Medium","Low"))</f>
        <v/>
      </c>
    </row>
    <row r="9">
      <c r="A9" s="5" t="n">
        <v>8</v>
      </c>
      <c r="B9" s="5">
        <f>INDEX('Employee Data'!$A$2:$A$201,MATCH(J9,'Employee Data'!$O$2:$O$201,0))</f>
        <v/>
      </c>
      <c r="C9" s="5">
        <f>INDEX('Employee Data'!$D$2:$D$201,MATCH(B9,'Employee Data'!$A$2:$A$201,0))</f>
        <v/>
      </c>
      <c r="D9" s="5">
        <f>INDEX('Employee Data'!$E$2:$E$201,MATCH(B9,'Employee Data'!$A$2:$A$201,0))</f>
        <v/>
      </c>
      <c r="E9" s="5">
        <f>INDEX('Employee Data'!$F$2:$F$201,MATCH(B9,'Employee Data'!$A$2:$A$201,0))</f>
        <v/>
      </c>
      <c r="F9" s="11">
        <f>INDEX('Employee Data'!$G$2:$G$201,MATCH(B9,'Employee Data'!$A$2:$A$201,0))</f>
        <v/>
      </c>
      <c r="G9" s="5">
        <f>INDEX('Employee Data'!$I$2:$I$201,MATCH(B9,'Employee Data'!$A$2:$A$201,0))</f>
        <v/>
      </c>
      <c r="H9" s="5">
        <f>INDEX('Employee Data'!$J$2:$J$201,MATCH(B9,'Employee Data'!$A$2:$A$201,0))</f>
        <v/>
      </c>
      <c r="I9" s="5">
        <f>INDEX('Employee Data'!$H$2:$H$201,MATCH(B9,'Employee Data'!$A$2:$A$201,0))</f>
        <v/>
      </c>
      <c r="J9" s="5">
        <f>LARGE('Employee Data'!$O$2:$O$201,A9)</f>
        <v/>
      </c>
      <c r="K9" s="5">
        <f>IF(J9&gt;=70,"High",IF(J9&gt;=40,"Medium","Low"))</f>
        <v/>
      </c>
    </row>
    <row r="10">
      <c r="A10" s="5" t="n">
        <v>9</v>
      </c>
      <c r="B10" s="5">
        <f>INDEX('Employee Data'!$A$2:$A$201,MATCH(J10,'Employee Data'!$O$2:$O$201,0))</f>
        <v/>
      </c>
      <c r="C10" s="5">
        <f>INDEX('Employee Data'!$D$2:$D$201,MATCH(B10,'Employee Data'!$A$2:$A$201,0))</f>
        <v/>
      </c>
      <c r="D10" s="5">
        <f>INDEX('Employee Data'!$E$2:$E$201,MATCH(B10,'Employee Data'!$A$2:$A$201,0))</f>
        <v/>
      </c>
      <c r="E10" s="5">
        <f>INDEX('Employee Data'!$F$2:$F$201,MATCH(B10,'Employee Data'!$A$2:$A$201,0))</f>
        <v/>
      </c>
      <c r="F10" s="11">
        <f>INDEX('Employee Data'!$G$2:$G$201,MATCH(B10,'Employee Data'!$A$2:$A$201,0))</f>
        <v/>
      </c>
      <c r="G10" s="5">
        <f>INDEX('Employee Data'!$I$2:$I$201,MATCH(B10,'Employee Data'!$A$2:$A$201,0))</f>
        <v/>
      </c>
      <c r="H10" s="5">
        <f>INDEX('Employee Data'!$J$2:$J$201,MATCH(B10,'Employee Data'!$A$2:$A$201,0))</f>
        <v/>
      </c>
      <c r="I10" s="5">
        <f>INDEX('Employee Data'!$H$2:$H$201,MATCH(B10,'Employee Data'!$A$2:$A$201,0))</f>
        <v/>
      </c>
      <c r="J10" s="5">
        <f>LARGE('Employee Data'!$O$2:$O$201,A10)</f>
        <v/>
      </c>
      <c r="K10" s="5">
        <f>IF(J10&gt;=70,"High",IF(J10&gt;=40,"Medium","Low"))</f>
        <v/>
      </c>
    </row>
    <row r="11">
      <c r="A11" s="5" t="n">
        <v>10</v>
      </c>
      <c r="B11" s="5">
        <f>INDEX('Employee Data'!$A$2:$A$201,MATCH(J11,'Employee Data'!$O$2:$O$201,0))</f>
        <v/>
      </c>
      <c r="C11" s="5">
        <f>INDEX('Employee Data'!$D$2:$D$201,MATCH(B11,'Employee Data'!$A$2:$A$201,0))</f>
        <v/>
      </c>
      <c r="D11" s="5">
        <f>INDEX('Employee Data'!$E$2:$E$201,MATCH(B11,'Employee Data'!$A$2:$A$201,0))</f>
        <v/>
      </c>
      <c r="E11" s="5">
        <f>INDEX('Employee Data'!$F$2:$F$201,MATCH(B11,'Employee Data'!$A$2:$A$201,0))</f>
        <v/>
      </c>
      <c r="F11" s="11">
        <f>INDEX('Employee Data'!$G$2:$G$201,MATCH(B11,'Employee Data'!$A$2:$A$201,0))</f>
        <v/>
      </c>
      <c r="G11" s="5">
        <f>INDEX('Employee Data'!$I$2:$I$201,MATCH(B11,'Employee Data'!$A$2:$A$201,0))</f>
        <v/>
      </c>
      <c r="H11" s="5">
        <f>INDEX('Employee Data'!$J$2:$J$201,MATCH(B11,'Employee Data'!$A$2:$A$201,0))</f>
        <v/>
      </c>
      <c r="I11" s="5">
        <f>INDEX('Employee Data'!$H$2:$H$201,MATCH(B11,'Employee Data'!$A$2:$A$201,0))</f>
        <v/>
      </c>
      <c r="J11" s="5">
        <f>LARGE('Employee Data'!$O$2:$O$201,A11)</f>
        <v/>
      </c>
      <c r="K11" s="5">
        <f>IF(J11&gt;=70,"High",IF(J11&gt;=40,"Medium","Low"))</f>
        <v/>
      </c>
    </row>
  </sheetData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WHAT-IF RETENTION SCENARIO ANALYSIS</t>
        </is>
      </c>
      <c r="B1" s="5" t="n"/>
      <c r="C1" s="5" t="n"/>
      <c r="D1" s="5" t="n"/>
      <c r="E1" s="5" t="n"/>
      <c r="F1" s="5" t="n"/>
    </row>
    <row r="2">
      <c r="A2" s="5" t="n"/>
      <c r="B2" s="5" t="n"/>
      <c r="C2" s="5" t="n"/>
      <c r="D2" s="5" t="n"/>
      <c r="E2" s="5" t="n"/>
      <c r="F2" s="5" t="n"/>
    </row>
    <row r="3">
      <c r="A3" s="12" t="inlineStr">
        <is>
          <t>Scenario</t>
        </is>
      </c>
      <c r="B3" s="12" t="inlineStr">
        <is>
          <t>Assumption</t>
        </is>
      </c>
      <c r="C3" s="12" t="inlineStr">
        <is>
          <t>Input Value</t>
        </is>
      </c>
      <c r="D3" s="12" t="inlineStr">
        <is>
          <t>Purpose</t>
        </is>
      </c>
      <c r="E3" s="12" t="inlineStr">
        <is>
          <t>Expected Direction</t>
        </is>
      </c>
      <c r="F3" s="12" t="inlineStr">
        <is>
          <t>Notes</t>
        </is>
      </c>
    </row>
    <row r="4">
      <c r="A4" s="5" t="inlineStr">
        <is>
          <t>Baseline</t>
        </is>
      </c>
      <c r="B4" s="5" t="inlineStr">
        <is>
          <t>No intervention</t>
        </is>
      </c>
      <c r="C4" s="14" t="n">
        <v>0</v>
      </c>
      <c r="D4" s="5" t="inlineStr">
        <is>
          <t>Current workforce risk</t>
        </is>
      </c>
      <c r="E4" s="5" t="inlineStr">
        <is>
          <t>Baseline</t>
        </is>
      </c>
      <c r="F4" s="5" t="inlineStr">
        <is>
          <t>Reference case</t>
        </is>
      </c>
    </row>
    <row r="5">
      <c r="A5" s="5" t="inlineStr">
        <is>
          <t>Scenario 1</t>
        </is>
      </c>
      <c r="B5" s="5" t="inlineStr">
        <is>
          <t>Increase Training Hours</t>
        </is>
      </c>
      <c r="C5" s="14" t="n">
        <v>0.2</v>
      </c>
      <c r="D5" s="5" t="inlineStr">
        <is>
          <t>Increase training by 20%</t>
        </is>
      </c>
      <c r="E5" s="5" t="inlineStr">
        <is>
          <t>Risk may reduce</t>
        </is>
      </c>
      <c r="F5" s="5" t="inlineStr">
        <is>
          <t>Review employees with training below 5 hours</t>
        </is>
      </c>
    </row>
    <row r="6">
      <c r="A6" s="5" t="inlineStr">
        <is>
          <t>Scenario 2</t>
        </is>
      </c>
      <c r="B6" s="5" t="inlineStr">
        <is>
          <t>Increase Low Performer Salaries</t>
        </is>
      </c>
      <c r="C6" s="14" t="n">
        <v>0.1</v>
      </c>
      <c r="D6" s="5" t="inlineStr">
        <is>
          <t>Increase salaries by 10% for low performers</t>
        </is>
      </c>
      <c r="E6" s="5" t="inlineStr">
        <is>
          <t>Risk may reduce</t>
        </is>
      </c>
      <c r="F6" s="5" t="inlineStr">
        <is>
          <t>Compare against department median</t>
        </is>
      </c>
    </row>
    <row r="7">
      <c r="A7" s="5" t="inlineStr">
        <is>
          <t>Scenario 3</t>
        </is>
      </c>
      <c r="B7" s="5" t="inlineStr">
        <is>
          <t>Reduce Overtime</t>
        </is>
      </c>
      <c r="C7" s="14" t="n">
        <v>0.3</v>
      </c>
      <c r="D7" s="5" t="inlineStr">
        <is>
          <t>Reduce overtime exposure by 30%</t>
        </is>
      </c>
      <c r="E7" s="5" t="inlineStr">
        <is>
          <t>Risk may reduce</t>
        </is>
      </c>
      <c r="F7" s="5" t="inlineStr">
        <is>
          <t>Review workload balancing</t>
        </is>
      </c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inlineStr">
        <is>
          <t>Note:</t>
        </is>
      </c>
      <c r="B10" s="15" t="inlineStr">
        <is>
          <t>The scenarios provide planning assumptions. Recalculate the risk model after applying each intervention to estimate the change in risk.</t>
        </is>
      </c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</sheetData>
  <mergeCells count="2">
    <mergeCell ref="A1:F1"/>
    <mergeCell ref="B10:F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3" t="inlineStr">
        <is>
          <t>PROJECT GUIDE</t>
        </is>
      </c>
      <c r="B1" s="5" t="n"/>
      <c r="C1" s="5" t="n"/>
      <c r="D1" s="5" t="n"/>
    </row>
    <row r="2">
      <c r="A2" s="5" t="inlineStr">
        <is>
          <t>Step</t>
        </is>
      </c>
      <c r="B2" s="5" t="inlineStr">
        <is>
          <t>What to do</t>
        </is>
      </c>
      <c r="C2" s="5" t="n"/>
      <c r="D2" s="5" t="n"/>
    </row>
    <row r="3">
      <c r="A3" s="12" t="inlineStr">
        <is>
          <t>1</t>
        </is>
      </c>
      <c r="B3" s="12" t="inlineStr">
        <is>
          <t>Use Employee Data as the raw employee dataset. It contains 200 sample records.</t>
        </is>
      </c>
      <c r="C3" s="12" t="n"/>
      <c r="D3" s="12" t="n"/>
    </row>
    <row r="4" ht="32" customHeight="1">
      <c r="A4" s="5" t="inlineStr">
        <is>
          <t>2</t>
        </is>
      </c>
      <c r="B4" s="15" t="inlineStr">
        <is>
          <t>Monthly Salary, Tenure Group, Department Median Salary, Risk Score and Risk Level are formula-driven columns.</t>
        </is>
      </c>
      <c r="C4" s="5" t="n"/>
      <c r="D4" s="5" t="n"/>
    </row>
    <row r="5" ht="32" customHeight="1">
      <c r="A5" s="5" t="inlineStr">
        <is>
          <t>3</t>
        </is>
      </c>
      <c r="B5" s="15" t="inlineStr">
        <is>
          <t>Risk score rules: Tenure &lt;=2 years = 20 points; Performance &lt;=2 = 25; Salary below department median = 15; Overtime Yes = 20; Training Hours &lt;5 = 10.</t>
        </is>
      </c>
      <c r="C5" s="5" t="n"/>
      <c r="D5" s="5" t="n"/>
    </row>
    <row r="6" ht="32" customHeight="1">
      <c r="A6" s="5" t="inlineStr">
        <is>
          <t>4</t>
        </is>
      </c>
      <c r="B6" s="15" t="inlineStr">
        <is>
          <t>Risk levels: High = 70+, Medium = 40–69, Low = below 40.</t>
        </is>
      </c>
      <c r="C6" s="5" t="n"/>
      <c r="D6" s="5" t="n"/>
    </row>
    <row r="7" ht="32" customHeight="1">
      <c r="A7" s="5" t="inlineStr">
        <is>
          <t>5</t>
        </is>
      </c>
      <c r="B7" s="15" t="inlineStr">
        <is>
          <t>HR Dashboard contains KPI cards, department summary, gender summary, risk summary and charts.</t>
        </is>
      </c>
      <c r="C7" s="5" t="n"/>
      <c r="D7" s="5" t="n"/>
    </row>
    <row r="8" ht="32" customHeight="1">
      <c r="A8" s="5" t="inlineStr">
        <is>
          <t>6</t>
        </is>
      </c>
      <c r="B8" s="15" t="inlineStr">
        <is>
          <t>High Risk Top 10 displays the ten highest risk scores using formulas.</t>
        </is>
      </c>
      <c r="C8" s="5" t="n"/>
      <c r="D8" s="5" t="n"/>
    </row>
    <row r="9" ht="32" customHeight="1">
      <c r="A9" s="5" t="inlineStr">
        <is>
          <t>7</t>
        </is>
      </c>
      <c r="B9" s="15" t="inlineStr">
        <is>
          <t>What-If Scenarios contains assumptions for training, salary and overtime interventions.</t>
        </is>
      </c>
      <c r="C9" s="5" t="n"/>
      <c r="D9" s="5" t="n"/>
    </row>
    <row r="10" ht="32" customHeight="1">
      <c r="A10" s="5" t="inlineStr">
        <is>
          <t>8</t>
        </is>
      </c>
      <c r="B10" s="15" t="inlineStr">
        <is>
          <t>All salary fields use Indian Rupees (₹) formatting.</t>
        </is>
      </c>
      <c r="C10" s="5" t="n"/>
      <c r="D10" s="5" t="n"/>
    </row>
  </sheetData>
  <mergeCells count="1">
    <mergeCell ref="A1:D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2026-09-20T13:14:19Z</dcterms:created>
  <dcterms:modified xmlns:dcterms="http://purl.org/dc/terms/" xmlns:xsi="http://www.w3.org/2001/XMLSchema-instance" xsi:type="dcterms:W3CDTF">2026-09-20T13:14:19Z</dcterms:modified>
</cp:coreProperties>
</file>